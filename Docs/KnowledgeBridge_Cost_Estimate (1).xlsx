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Summary" sheetId="1" state="visible" r:id="rId3"/>
    <sheet name="Assumptions" sheetId="2" state="visible" r:id="rId4"/>
    <sheet name="Unit Costs" sheetId="3" state="visible" r:id="rId5"/>
    <sheet name="Dev Phase Cost" sheetId="4" state="visible" r:id="rId6"/>
    <sheet name="Production Projection" sheetId="5" state="visible" r:id="rId7"/>
    <sheet name="Model Comparison" sheetId="6" state="visible" r:id="rId8"/>
    <sheet name="Other Costs" sheetId="7" state="visible" r:id="rId9"/>
    <sheet name="Price Referenc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<sst xmlns="http://schemas.openxmlformats.org/spreadsheetml/2006/main" count="337" uniqueCount="280">
  <si>
    <t xml:space="preserve">KnowledgeBridge — Cost Summary</t>
  </si>
  <si>
    <t xml:space="preserve">All figures are estimates from the Assumptions tab. Change blue cells there and everything updates.</t>
  </si>
  <si>
    <t xml:space="preserve">Item</t>
  </si>
  <si>
    <t xml:space="preserve">Value</t>
  </si>
  <si>
    <t xml:space="preserve">Note</t>
  </si>
  <si>
    <t xml:space="preserve">Provider / who pays</t>
  </si>
  <si>
    <t xml:space="preserve">Sponsor-provided API keys</t>
  </si>
  <si>
    <t xml:space="preserve">Synthesis model</t>
  </si>
  <si>
    <t xml:space="preserve">Synthesis run by gbrain (may change)</t>
  </si>
  <si>
    <t xml:space="preserve">Embedding model</t>
  </si>
  <si>
    <t xml:space="preserve">gbrain default</t>
  </si>
  <si>
    <t xml:space="preserve">Cost per Synthesis query (cache miss)</t>
  </si>
  <si>
    <t xml:space="preserve">Medium tier</t>
  </si>
  <si>
    <t xml:space="preserve">Cost per Search query</t>
  </si>
  <si>
    <t xml:space="preserve">Low tier: embedding only</t>
  </si>
  <si>
    <t xml:space="preserve">Dev-phase API budget (with buffer)</t>
  </si>
  <si>
    <t xml:space="preserve">Paid by sponsor</t>
  </si>
  <si>
    <t xml:space="preserve">Dev monthly cost ceiling (token budget)</t>
  </si>
  <si>
    <t xml:space="preserve">Suggested OpenAI spend limit</t>
  </si>
  <si>
    <t xml:space="preserve">Total project cost</t>
  </si>
  <si>
    <t xml:space="preserve">API + $0 tooling; labor excluded</t>
  </si>
  <si>
    <t xml:space="preserve">Team out-of-pocket</t>
  </si>
  <si>
    <t xml:space="preserve">Projected monthly cost @ 50 users</t>
  </si>
  <si>
    <t xml:space="preserve">Hypothetical, with buffer</t>
  </si>
  <si>
    <t xml:space="preserve">Projected monthly cost @ 75 users</t>
  </si>
  <si>
    <t xml:space="preserve">Projected monthly cost @ 100 users</t>
  </si>
  <si>
    <t xml:space="preserve">Tabs</t>
  </si>
  <si>
    <t xml:space="preserve">Assumptions</t>
  </si>
  <si>
    <t xml:space="preserve">Every input and where it came from</t>
  </si>
  <si>
    <t xml:space="preserve">Unit Costs</t>
  </si>
  <si>
    <t xml:space="preserve">Cost of one Search, Synthesis and ingestion</t>
  </si>
  <si>
    <t xml:space="preserve">Dev Phase Cost</t>
  </si>
  <si>
    <t xml:space="preserve">12-week build/test spend</t>
  </si>
  <si>
    <t xml:space="preserve">Production Projection</t>
  </si>
  <si>
    <t xml:space="preserve">50/75/100-user monthly estimate (not deployed)</t>
  </si>
  <si>
    <t xml:space="preserve">Model Comparison</t>
  </si>
  <si>
    <t xml:space="preserve">Same usage on Astra, Sol, Luna</t>
  </si>
  <si>
    <t xml:space="preserve">Other Costs</t>
  </si>
  <si>
    <t xml:space="preserve">Full cost list including $0 items</t>
  </si>
  <si>
    <t xml:space="preserve">Price Reference</t>
  </si>
  <si>
    <t xml:space="preserve">OpenAI unit prices with sources</t>
  </si>
  <si>
    <t xml:space="preserve">KnowledgeBridge — Cost Assumptions</t>
  </si>
  <si>
    <t xml:space="preserve">Blue = input you can change. Yellow = key assumption to confirm with the team. Black = formula. Green = pulled from another sheet.</t>
  </si>
  <si>
    <t xml:space="preserve">Assumption</t>
  </si>
  <si>
    <t xml:space="preserve">Unit</t>
  </si>
  <si>
    <t xml:space="preserve">Source / basis</t>
  </si>
  <si>
    <t xml:space="preserve">Provider &amp; models</t>
  </si>
  <si>
    <t xml:space="preserve">LLM &amp; embedding provider</t>
  </si>
  <si>
    <t xml:space="preserve">OpenAI</t>
  </si>
  <si>
    <t xml:space="preserve">text</t>
  </si>
  <si>
    <t xml:space="preserve">Team decision; sponsor-provided OpenAI keys (Plan 10.1, 16 Q11)</t>
  </si>
  <si>
    <t xml:space="preserve">Who pays API costs</t>
  </si>
  <si>
    <t xml:space="preserve">Sponsor</t>
  </si>
  <si>
    <t xml:space="preserve">Sponsor provided OpenAI API keys; team out-of-pocket = $0</t>
  </si>
  <si>
    <t xml:space="preserve">Pricing tier</t>
  </si>
  <si>
    <t xml:space="preserve">Standard, short context</t>
  </si>
  <si>
    <t xml:space="preserve">Live user requests (not Batch); requests are ~5K tokens, far below long-context threshold</t>
  </si>
  <si>
    <t xml:space="preserve">Synthesis performed by</t>
  </si>
  <si>
    <t xml:space="preserve">gbrain</t>
  </si>
  <si>
    <t xml:space="preserve">Expected; may change after testing (Plan 16 Q4). If the backend calls OpenAI directly, revisit the token rows below</t>
  </si>
  <si>
    <t xml:space="preserve">Synthesis (chat) model</t>
  </si>
  <si>
    <t xml:space="preserve">gpt-6-luna</t>
  </si>
  <si>
    <t xml:space="preserve">model</t>
  </si>
  <si>
    <t xml:space="preserve">Pick from dropdown. </t>
  </si>
  <si>
    <t xml:space="preserve">text-embedding-3-large</t>
  </si>
  <si>
    <t xml:space="preserve">gbrain's OpenAI embedding default (gbrain docs). </t>
  </si>
  <si>
    <t xml:space="preserve">Characters per token</t>
  </si>
  <si>
    <t xml:space="preserve">chars</t>
  </si>
  <si>
    <t xml:space="preserve">OpenAI rule of thumb (~4 chars ≈ 1 token, English); same value Plan 10.2 uses</t>
  </si>
  <si>
    <t xml:space="preserve">Development phase (12-week capstone)</t>
  </si>
  <si>
    <t xml:space="preserve">Project length</t>
  </si>
  <si>
    <t xml:space="preserve">weeks</t>
  </si>
  <si>
    <t xml:space="preserve">Spec milestones; Plan 7</t>
  </si>
  <si>
    <t xml:space="preserve">Weeks making live API calls</t>
  </si>
  <si>
    <t xml:space="preserve">Weeks 6–12. Wk 1–3 design/setup; routine dev uses mock gbrain (Plan 12.2, 15.7)</t>
  </si>
  <si>
    <t xml:space="preserve">Team members generating API calls</t>
  </si>
  <si>
    <t xml:space="preserve">people</t>
  </si>
  <si>
    <t xml:space="preserve">Five-person team (Plan 1, 5)</t>
  </si>
  <si>
    <t xml:space="preserve">Ad-hoc Synthesis queries per member per live week</t>
  </si>
  <si>
    <t xml:space="preserve">queries</t>
  </si>
  <si>
    <t xml:space="preserve">Team estimate: manual testing + demo prep (~8 per build day)</t>
  </si>
  <si>
    <t xml:space="preserve">Ad-hoc Search queries per member per live week</t>
  </si>
  <si>
    <t xml:space="preserve">Team estimate. Search = one embedding, no LLM (Spec 2)</t>
  </si>
  <si>
    <t xml:space="preserve">Synthesis cache hit rate (dev)</t>
  </si>
  <si>
    <t xml:space="preserve">%</t>
  </si>
  <si>
    <t xml:space="preserve">Spec 2: exact-match cache has low hit rate; cache resets on every KB change (Plan 4.4)</t>
  </si>
  <si>
    <t xml:space="preserve">Evaluation questions</t>
  </si>
  <si>
    <t xml:space="preserve">questions</t>
  </si>
  <si>
    <t xml:space="preserve">Plan 9.1: ~60-question ground-truth set</t>
  </si>
  <si>
    <t xml:space="preserve">Evaluation runs</t>
  </si>
  <si>
    <t xml:space="preserve">runs</t>
  </si>
  <si>
    <t xml:space="preserve">Plan 7: baseline (wk 9), formal study (wk 10), re-run after fixes (wk 10)</t>
  </si>
  <si>
    <t xml:space="preserve">Test corpus size</t>
  </si>
  <si>
    <t xml:space="preserve">Markdown docs</t>
  </si>
  <si>
    <t xml:space="preserve">Spec Milestone 1; Plan 8.2: 50 synthetic docs</t>
  </si>
  <si>
    <t xml:space="preserve">Average document length</t>
  </si>
  <si>
    <t xml:space="preserve">Placeholder ≈ 2,000 words. Measure: average character count of the 50 docs</t>
  </si>
  <si>
    <t xml:space="preserve">Full corpus ingestions during dev</t>
  </si>
  <si>
    <t xml:space="preserve">times</t>
  </si>
  <si>
    <t xml:space="preserve">Team estimate: initial load, schema changes, bug fixes, demo resets</t>
  </si>
  <si>
    <t xml:space="preserve">LLM entity-extraction call per doc? (1=yes, 0=no)</t>
  </si>
  <si>
    <t xml:space="preserve">flag</t>
  </si>
  <si>
    <t xml:space="preserve">Spec tech stack: gbrain uses zero-additional-LLM-call entity extraction</t>
  </si>
  <si>
    <t xml:space="preserve">Tokens per Synthesis call (assumes gbrain builds the prompt)</t>
  </si>
  <si>
    <t xml:space="preserve">User question length</t>
  </si>
  <si>
    <t xml:space="preserve">tokens</t>
  </si>
  <si>
    <t xml:space="preserve">Team estimate (~30 words)</t>
  </si>
  <si>
    <t xml:space="preserve">System prompt (citations, AI label, gap rules)</t>
  </si>
  <si>
    <t xml:space="preserve">Placeholder. Measure once gbrain's synthesis prompt is known</t>
  </si>
  <si>
    <t xml:space="preserve">Retrieved chunks sent to LLM</t>
  </si>
  <si>
    <t xml:space="preserve">chunks</t>
  </si>
  <si>
    <t xml:space="preserve">Placeholder. gbrain retrieval setting (top-k)</t>
  </si>
  <si>
    <t xml:space="preserve">Tokens per chunk</t>
  </si>
  <si>
    <t xml:space="preserve">Placeholder. gbrain chunking setting</t>
  </si>
  <si>
    <t xml:space="preserve">Synthesis answer length</t>
  </si>
  <si>
    <t xml:space="preserve">Placeholder (~450 words). Measure from real answers</t>
  </si>
  <si>
    <t xml:space="preserve">Entity-extraction prompt overhead</t>
  </si>
  <si>
    <t xml:space="preserve">Only used if the flag above = 1</t>
  </si>
  <si>
    <t xml:space="preserve">Entity-extraction output</t>
  </si>
  <si>
    <t xml:space="preserve">Production projection (hypothetical — Spec requires 50–100 users)</t>
  </si>
  <si>
    <t xml:space="preserve">User count scenario A</t>
  </si>
  <si>
    <t xml:space="preserve">users</t>
  </si>
  <si>
    <t xml:space="preserve">Spec Cost Transparency; Plan 10.4</t>
  </si>
  <si>
    <t xml:space="preserve">User count scenario B</t>
  </si>
  <si>
    <t xml:space="preserve">Plan 10.4</t>
  </si>
  <si>
    <t xml:space="preserve">User count scenario C</t>
  </si>
  <si>
    <t xml:space="preserve">Spec; Plan 10.4</t>
  </si>
  <si>
    <t xml:space="preserve">Queries per user per month</t>
  </si>
  <si>
    <t xml:space="preserve">Team estimate ≈ 3 per workday (Plan 10.4 variable)</t>
  </si>
  <si>
    <t xml:space="preserve">Share of queries using Synthesis</t>
  </si>
  <si>
    <t xml:space="preserve">Team estimate; rest use Search</t>
  </si>
  <si>
    <t xml:space="preserve">Synthesis cache hit rate (prod)</t>
  </si>
  <si>
    <t xml:space="preserve">Spec 2: exact-match cache 'understood to have a low hit rate'</t>
  </si>
  <si>
    <t xml:space="preserve">New/edited docs per month — scenario A</t>
  </si>
  <si>
    <t xml:space="preserve">docs</t>
  </si>
  <si>
    <t xml:space="preserve">Team estimate; scales with users (Spec: project growth with document volume)</t>
  </si>
  <si>
    <t xml:space="preserve">New/edited docs per month — scenario B</t>
  </si>
  <si>
    <t xml:space="preserve">Team estimate</t>
  </si>
  <si>
    <t xml:space="preserve">New/edited docs per month — scenario C</t>
  </si>
  <si>
    <t xml:space="preserve">Budget safety</t>
  </si>
  <si>
    <t xml:space="preserve">Contingency buffer</t>
  </si>
  <si>
    <t xml:space="preserve">Team choice (10–25% standard): retries, failed runs, prompt experiments, estimate error</t>
  </si>
  <si>
    <t xml:space="preserve">Monthly ceiling headroom</t>
  </si>
  <si>
    <t xml:space="preserve">× average</t>
  </si>
  <si>
    <t xml:space="preserve">Team choice: ceiling = 2× the expected month, rounded up to whole dollars</t>
  </si>
  <si>
    <t xml:space="preserve">Looked-up prices (formulas — do not edit)</t>
  </si>
  <si>
    <t xml:space="preserve">Chat input $/1M</t>
  </si>
  <si>
    <t xml:space="preserve">Chat output $/1M</t>
  </si>
  <si>
    <t xml:space="preserve">Embedding $/1M</t>
  </si>
  <si>
    <t xml:space="preserve">Cost per Operation</t>
  </si>
  <si>
    <t xml:space="preserve">What one call of each kind costs with the current model choices.</t>
  </si>
  <si>
    <t xml:space="preserve">Operation</t>
  </si>
  <si>
    <t xml:space="preserve">Embedding tokens</t>
  </si>
  <si>
    <t xml:space="preserve">LLM input tokens</t>
  </si>
  <si>
    <t xml:space="preserve">LLM output tokens</t>
  </si>
  <si>
    <t xml:space="preserve">Cost per operation</t>
  </si>
  <si>
    <t xml:space="preserve">Cost tier</t>
  </si>
  <si>
    <t xml:space="preserve">How it's calculated</t>
  </si>
  <si>
    <t xml:space="preserve">Search query (embed question, pgvector lookup)</t>
  </si>
  <si>
    <t xml:space="preserve">Low (embedding)</t>
  </si>
  <si>
    <t xml:space="preserve">Question is embedded; ranking happens in Postgres for free</t>
  </si>
  <si>
    <t xml:space="preserve">Synthesis query — cache miss</t>
  </si>
  <si>
    <t xml:space="preserve">Medium (synthesis)</t>
  </si>
  <si>
    <t xml:space="preserve">Embed question + send system prompt, retrieved chunks and question to the chat model</t>
  </si>
  <si>
    <t xml:space="preserve">Synthesis query — cache hit</t>
  </si>
  <si>
    <t xml:space="preserve">None (cache)</t>
  </si>
  <si>
    <t xml:space="preserve">Served from the app's exact-match cache; no OpenAI call</t>
  </si>
  <si>
    <t xml:space="preserve">Ingest one document</t>
  </si>
  <si>
    <t xml:space="preserve">Embed the whole doc; optional entity-extraction LLM call</t>
  </si>
  <si>
    <t xml:space="preserve">Cost per 1,000 synthesis queries (cache miss)</t>
  </si>
  <si>
    <t xml:space="preserve">Cost to ingest the full test corpus once</t>
  </si>
  <si>
    <t xml:space="preserve">Cost tiers per Spec (Token Economics): embedding = low-cost, answer synthesis = medium-cost.</t>
  </si>
  <si>
    <t xml:space="preserve">Development Phase API Cost (12-week capstone)</t>
  </si>
  <si>
    <t xml:space="preserve">Paid by the sponsor through the OpenAI keys he provided. This is the project's only real cost.</t>
  </si>
  <si>
    <t xml:space="preserve">Volume (whole project)</t>
  </si>
  <si>
    <t xml:space="preserve">Cost each</t>
  </si>
  <si>
    <t xml:space="preserve">Total cost</t>
  </si>
  <si>
    <t xml:space="preserve">Volume basis</t>
  </si>
  <si>
    <t xml:space="preserve">Search — ad-hoc testing</t>
  </si>
  <si>
    <t xml:space="preserve">live weeks × members × searches/week</t>
  </si>
  <si>
    <t xml:space="preserve">Search — evaluation runs</t>
  </si>
  <si>
    <t xml:space="preserve">questions × runs (retrieval scoring, Plan §9.3)</t>
  </si>
  <si>
    <t xml:space="preserve">Synthesis — ad-hoc testing (cache miss)</t>
  </si>
  <si>
    <t xml:space="preserve">live weeks × members × synth/week × (1 − hit rate)</t>
  </si>
  <si>
    <t xml:space="preserve">Synthesis — evaluation runs (cache miss)</t>
  </si>
  <si>
    <t xml:space="preserve">questions × runs; KB changes between runs clear the cache</t>
  </si>
  <si>
    <t xml:space="preserve">Synthesis — cache hits</t>
  </si>
  <si>
    <t xml:space="preserve">Free: served from PostgreSQL cache</t>
  </si>
  <si>
    <t xml:space="preserve">Document ingestion</t>
  </si>
  <si>
    <t xml:space="preserve">corpus size × full ingestions</t>
  </si>
  <si>
    <t xml:space="preserve">Subtotal (estimated API spend)</t>
  </si>
  <si>
    <t xml:space="preserve">Recommended dev-phase API budget</t>
  </si>
  <si>
    <t xml:space="preserve">Average per live week</t>
  </si>
  <si>
    <t xml:space="preserve">Average per active month</t>
  </si>
  <si>
    <t xml:space="preserve">Monthly cost ceiling (token budget)</t>
  </si>
  <si>
    <t xml:space="preserve">Spec: 'define a projected monthly cost ceiling'</t>
  </si>
  <si>
    <t xml:space="preserve">Production Cost Projection (hypothetical — the project is not being deployed)</t>
  </si>
  <si>
    <t xml:space="preserve">Feeds the stretch cost dashboard's 50/75/100-user projection. Not a project expense.</t>
  </si>
  <si>
    <t xml:space="preserve">Monthly line item</t>
  </si>
  <si>
    <t xml:space="preserve">Scenario A</t>
  </si>
  <si>
    <t xml:space="preserve">Scenario B</t>
  </si>
  <si>
    <t xml:space="preserve">Scenario C</t>
  </si>
  <si>
    <t xml:space="preserve">Users</t>
  </si>
  <si>
    <t xml:space="preserve">Total queries / month</t>
  </si>
  <si>
    <t xml:space="preserve">Search queries</t>
  </si>
  <si>
    <t xml:space="preserve">Synthesis queries — cache miss</t>
  </si>
  <si>
    <t xml:space="preserve">Synthesis queries — cache hit</t>
  </si>
  <si>
    <t xml:space="preserve">Docs ingested / month</t>
  </si>
  <si>
    <t xml:space="preserve">Search cost</t>
  </si>
  <si>
    <t xml:space="preserve">Synthesis cost</t>
  </si>
  <si>
    <t xml:space="preserve">Ingestion cost</t>
  </si>
  <si>
    <t xml:space="preserve">Monthly API cost</t>
  </si>
  <si>
    <t xml:space="preserve">With contingency buffer</t>
  </si>
  <si>
    <t xml:space="preserve">Annual (with buffer)</t>
  </si>
  <si>
    <t xml:space="preserve">Cost per user / month</t>
  </si>
  <si>
    <t xml:space="preserve">Saved by cache / month</t>
  </si>
  <si>
    <t xml:space="preserve">Monthly cost ceiling</t>
  </si>
  <si>
    <t xml:space="preserve">How cost grows with document volume (one-time cost to ingest a whole corpus)</t>
  </si>
  <si>
    <t xml:space="preserve">Corpus size (docs)</t>
  </si>
  <si>
    <t xml:space="preserve">Ingestion is embedding-only (low tier), so even large corpora stay cheap; Synthesis volume drives cost.</t>
  </si>
  <si>
    <t xml:space="preserve">What if we used a different chat model?</t>
  </si>
  <si>
    <t xml:space="preserve">Same usage assumptions, only the synthesis model changes. Embedding and cache-hit costs held constant.</t>
  </si>
  <si>
    <t xml:space="preserve">Chat model</t>
  </si>
  <si>
    <t xml:space="preserve">Cost per synthesis (miss)</t>
  </si>
  <si>
    <t xml:space="preserve">Dev-phase total (with buffer)</t>
  </si>
  <si>
    <t xml:space="preserve">Prod monthly @ Scenario C (with buffer)</t>
  </si>
  <si>
    <t xml:space="preserve">All Project Costs</t>
  </si>
  <si>
    <t xml:space="preserve">Every tool the project uses, including the free ones, so reviewers can see nothing was missed.</t>
  </si>
  <si>
    <t xml:space="preserve">Category</t>
  </si>
  <si>
    <t xml:space="preserve">Paid by</t>
  </si>
  <si>
    <t xml:space="preserve">Project cost</t>
  </si>
  <si>
    <t xml:space="preserve">Why</t>
  </si>
  <si>
    <t xml:space="preserve">OpenAI API usage (dev phase, with buffer)</t>
  </si>
  <si>
    <t xml:space="preserve">API (usage-based)</t>
  </si>
  <si>
    <t xml:space="preserve">Sponsor-provided OpenAI keys; see Dev Phase Cost tab</t>
  </si>
  <si>
    <t xml:space="preserve">React frontend</t>
  </si>
  <si>
    <t xml:space="preserve">Software</t>
  </si>
  <si>
    <t xml:space="preserve">Free</t>
  </si>
  <si>
    <t xml:space="preserve">Open source</t>
  </si>
  <si>
    <t xml:space="preserve">Spring Boot backend</t>
  </si>
  <si>
    <t xml:space="preserve">PostgreSQL + pgvector</t>
  </si>
  <si>
    <t xml:space="preserve">Software / database</t>
  </si>
  <si>
    <t xml:space="preserve">Open source, runs locally in Docker</t>
  </si>
  <si>
    <t xml:space="preserve">Open source; its OpenAI usage is counted in the API line</t>
  </si>
  <si>
    <t xml:space="preserve">Docker / Docker Compose</t>
  </si>
  <si>
    <t xml:space="preserve">Tooling</t>
  </si>
  <si>
    <t xml:space="preserve">Free for education/personal use; sponsor provides compose config</t>
  </si>
  <si>
    <t xml:space="preserve">Hosting / cloud infrastructure</t>
  </si>
  <si>
    <t xml:space="preserve">Infrastructure</t>
  </si>
  <si>
    <t xml:space="preserve">Optional shared demo env (Plan 2.3) not planned; local Docker Compose only</t>
  </si>
  <si>
    <t xml:space="preserve">Source control (GitHub)</t>
  </si>
  <si>
    <t xml:space="preserve">Free tier</t>
  </si>
  <si>
    <t xml:space="preserve">Diagramming (draw.io) &amp; docs (Google Drive)</t>
  </si>
  <si>
    <t xml:space="preserve">Claude Code (AI dev tool)</t>
  </si>
  <si>
    <t xml:space="preserve">Students</t>
  </si>
  <si>
    <t xml:space="preserve">Listed in Spec as a dev tool. Each student's own subscription; not a project expense. Confirm</t>
  </si>
  <si>
    <t xml:space="preserve">Developer hardware</t>
  </si>
  <si>
    <t xml:space="preserve">Hardware</t>
  </si>
  <si>
    <t xml:space="preserve">Team members' existing laptops</t>
  </si>
  <si>
    <t xml:space="preserve">Student labor</t>
  </si>
  <si>
    <t xml:space="preserve">Labor</t>
  </si>
  <si>
    <t xml:space="preserve">N/A</t>
  </si>
  <si>
    <t xml:space="preserve">Excluded: unpaid academic capstone</t>
  </si>
  <si>
    <t xml:space="preserve">OpenAI API Price Reference (USD per 1M tokens, Standard tier, short context)</t>
  </si>
  <si>
    <t xml:space="preserve">Model</t>
  </si>
  <si>
    <t xml:space="preserve">Type</t>
  </si>
  <si>
    <t xml:space="preserve">Input $/1M</t>
  </si>
  <si>
    <t xml:space="preserve">Cached input $/1M</t>
  </si>
  <si>
    <t xml:space="preserve">Output $/1M</t>
  </si>
  <si>
    <t xml:space="preserve">Source / note</t>
  </si>
  <si>
    <t xml:space="preserve">gpt-6-astra</t>
  </si>
  <si>
    <t xml:space="preserve">Chat / synthesis</t>
  </si>
  <si>
    <t xml:space="preserve">OpenAI pricing page, checked 2026-09-26: developers.openai.com/api/docs/pricing</t>
  </si>
  <si>
    <t xml:space="preserve">gpt-6-sol</t>
  </si>
  <si>
    <t xml:space="preserve">OpenAI pricing page, checked 2026-09-26</t>
  </si>
  <si>
    <t xml:space="preserve">Embedding</t>
  </si>
  <si>
    <t xml:space="preserve">gbrain's default OpenAI embedding model (1536 dims). $0.13/1M per gbrain docs</t>
  </si>
  <si>
    <t xml:space="preserve">text-embedding-3-small</t>
  </si>
  <si>
    <t xml:space="preserve">Cheaper alternative gbrain supports; confirm on OpenAI pricing page</t>
  </si>
  <si>
    <t xml:space="preserve">Batch API halves prices; long-context (&gt;272K input tokens) costs more. Neither applies at KnowledgeBridge's request sizes.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</si>
</sst>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0000;&quot;($&quot;#,##0.000000\);\-"/>
    <numFmt numFmtId="166" formatCode="\$#,##0.00;&quot;($&quot;#,##0.00\);\-"/>
    <numFmt numFmtId="167" formatCode="#,##0;\(#,##0\);\-"/>
    <numFmt numFmtId="168" formatCode="0.0%;\(0.0%\);\-"/>
    <numFmt numFmtId="169" formatCode="\$#,##0.000"/>
    <numFmt numFmtId="170" formatCode="\$#,##0.0000;&quot;($&quot;#,##0.0000\);\-"/>
    <numFmt numFmtId="171" formatCode="\$#,##0.000;&quot;($&quot;#,##0.0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4"/>
    <col collapsed="false" customWidth="true" hidden="false" outlineLevel="0" max="3" min="3" style="1" width="46"/>
  </cols>
  <sheetData>
    <row r="1" customFormat="false" ht="17.35" hidden="false" customHeight="false" outlineLevel="0" collapsed="false">
      <c r="A1" s="2" t="s">
        <v>0</v>
      </c>
      <c r="B1" s="3"/>
      <c r="C1" s="3"/>
    </row>
    <row r="2" customFormat="false" ht="15" hidden="false" customHeight="false" outlineLevel="0" collapsed="false">
      <c r="A2" s="4" t="s">
        <v>1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5" t="s">
        <v>2</v>
      </c>
      <c r="B4" s="5" t="s">
        <v>3</v>
      </c>
      <c r="C4" s="5" t="s">
        <v>4</v>
      </c>
    </row>
    <row r="5" customFormat="false" ht="15" hidden="false" customHeight="false" outlineLevel="0" collapsed="false">
      <c r="A5" s="6" t="s">
        <v>5</v>
      </c>
      <c r="B5" s="7" t="str">
        <f aca="false">Assumptions!$B$6&amp;" / "&amp;Assumptions!$B$7</f>
        <v>OpenAI / Sponsor</v>
      </c>
      <c r="C5" s="8" t="s">
        <v>6</v>
      </c>
    </row>
    <row r="6" customFormat="false" ht="15" hidden="false" customHeight="false" outlineLevel="0" collapsed="false">
      <c r="A6" s="6" t="s">
        <v>7</v>
      </c>
      <c r="B6" s="7" t="str">
        <f aca="false">Assumptions!$B$10</f>
        <v>gpt-6-luna</v>
      </c>
      <c r="C6" s="8" t="s">
        <v>8</v>
      </c>
    </row>
    <row r="7" customFormat="false" ht="15" hidden="false" customHeight="false" outlineLevel="0" collapsed="false">
      <c r="A7" s="6" t="s">
        <v>9</v>
      </c>
      <c r="B7" s="7" t="str">
        <f aca="false">Assumptions!$B$11</f>
        <v>text-embedding-3-large</v>
      </c>
      <c r="C7" s="8" t="s">
        <v>10</v>
      </c>
    </row>
    <row r="8" customFormat="false" ht="15" hidden="false" customHeight="false" outlineLevel="0" collapsed="false">
      <c r="A8" s="6" t="s">
        <v>11</v>
      </c>
      <c r="B8" s="9" t="n">
        <f aca="false">'Unit Costs'!E6</f>
        <v>0.0007892</v>
      </c>
      <c r="C8" s="8" t="s">
        <v>12</v>
      </c>
    </row>
    <row r="9" customFormat="false" ht="15" hidden="false" customHeight="false" outlineLevel="0" collapsed="false">
      <c r="A9" s="6" t="s">
        <v>13</v>
      </c>
      <c r="B9" s="9" t="n">
        <f aca="false">'Unit Costs'!E5</f>
        <v>5.2E-006</v>
      </c>
      <c r="C9" s="8" t="s">
        <v>14</v>
      </c>
    </row>
    <row r="10" customFormat="false" ht="15" hidden="false" customHeight="false" outlineLevel="0" collapsed="false">
      <c r="A10" s="6" t="s">
        <v>15</v>
      </c>
      <c r="B10" s="10" t="n">
        <f aca="false">'Dev Phase Cost'!D14</f>
        <v>1.58163</v>
      </c>
      <c r="C10" s="8" t="s">
        <v>16</v>
      </c>
    </row>
    <row r="11" customFormat="false" ht="15" hidden="false" customHeight="false" outlineLevel="0" collapsed="false">
      <c r="A11" s="6" t="s">
        <v>17</v>
      </c>
      <c r="B11" s="10" t="n">
        <f aca="false">'Dev Phase Cost'!D17</f>
        <v>2</v>
      </c>
      <c r="C11" s="8" t="s">
        <v>18</v>
      </c>
    </row>
    <row r="12" customFormat="false" ht="15" hidden="false" customHeight="false" outlineLevel="0" collapsed="false">
      <c r="A12" s="6" t="s">
        <v>19</v>
      </c>
      <c r="B12" s="11" t="n">
        <f aca="false">'Other Costs'!D18</f>
        <v>1.58163</v>
      </c>
      <c r="C12" s="8" t="s">
        <v>20</v>
      </c>
    </row>
    <row r="13" customFormat="false" ht="15" hidden="false" customHeight="false" outlineLevel="0" collapsed="false">
      <c r="A13" s="6" t="s">
        <v>21</v>
      </c>
      <c r="B13" s="10" t="n">
        <f aca="false">'Other Costs'!D20</f>
        <v>0</v>
      </c>
      <c r="C13" s="8"/>
    </row>
    <row r="14" customFormat="false" ht="15" hidden="false" customHeight="false" outlineLevel="0" collapsed="false">
      <c r="A14" s="6" t="s">
        <v>22</v>
      </c>
      <c r="B14" s="10" t="n">
        <f aca="false">'Production Projection'!B15</f>
        <v>1.1484975</v>
      </c>
      <c r="C14" s="8" t="s">
        <v>23</v>
      </c>
    </row>
    <row r="15" customFormat="false" ht="15" hidden="false" customHeight="false" outlineLevel="0" collapsed="false">
      <c r="A15" s="6" t="s">
        <v>24</v>
      </c>
      <c r="B15" s="10" t="n">
        <f aca="false">'Production Projection'!C15</f>
        <v>1.723965</v>
      </c>
      <c r="C15" s="8" t="s">
        <v>23</v>
      </c>
    </row>
    <row r="16" customFormat="false" ht="15" hidden="false" customHeight="false" outlineLevel="0" collapsed="false">
      <c r="A16" s="12" t="s">
        <v>25</v>
      </c>
      <c r="B16" s="10" t="n">
        <f aca="false">'Production Projection'!D15</f>
        <v>2.296995</v>
      </c>
      <c r="C16" s="8" t="s">
        <v>23</v>
      </c>
    </row>
    <row r="17" customFormat="false" ht="15" hidden="false" customHeight="false" outlineLevel="0" collapsed="false">
      <c r="A17" s="3"/>
      <c r="B17" s="3"/>
      <c r="C17" s="3"/>
    </row>
    <row r="18" customFormat="false" ht="15" hidden="false" customHeight="false" outlineLevel="0" collapsed="false">
      <c r="A18" s="3"/>
      <c r="B18" s="3"/>
      <c r="C18" s="3"/>
    </row>
    <row r="19" customFormat="false" ht="15" hidden="false" customHeight="false" outlineLevel="0" collapsed="false">
      <c r="A19" s="3" t="s">
        <v>26</v>
      </c>
      <c r="B19" s="3"/>
      <c r="C19" s="3"/>
    </row>
    <row r="20" customFormat="false" ht="15" hidden="false" customHeight="false" outlineLevel="0" collapsed="false">
      <c r="A20" s="13" t="s">
        <v>27</v>
      </c>
      <c r="B20" s="4" t="s">
        <v>28</v>
      </c>
      <c r="C20" s="3"/>
    </row>
    <row r="21" customFormat="false" ht="15" hidden="false" customHeight="false" outlineLevel="0" collapsed="false">
      <c r="A21" s="13" t="s">
        <v>29</v>
      </c>
      <c r="B21" s="4" t="s">
        <v>30</v>
      </c>
      <c r="C21" s="3"/>
    </row>
    <row r="22" customFormat="false" ht="15" hidden="false" customHeight="false" outlineLevel="0" collapsed="false">
      <c r="A22" s="13" t="s">
        <v>31</v>
      </c>
      <c r="B22" s="4" t="s">
        <v>32</v>
      </c>
      <c r="C22" s="3"/>
    </row>
    <row r="23" customFormat="false" ht="15" hidden="false" customHeight="false" outlineLevel="0" collapsed="false">
      <c r="A23" s="13" t="s">
        <v>33</v>
      </c>
      <c r="B23" s="4" t="s">
        <v>34</v>
      </c>
      <c r="C23" s="3"/>
    </row>
    <row r="24" customFormat="false" ht="15" hidden="false" customHeight="false" outlineLevel="0" collapsed="false">
      <c r="A24" s="13" t="s">
        <v>35</v>
      </c>
      <c r="B24" s="4" t="s">
        <v>36</v>
      </c>
      <c r="C24" s="3"/>
    </row>
    <row r="25" customFormat="false" ht="15" hidden="false" customHeight="false" outlineLevel="0" collapsed="false">
      <c r="A25" s="13" t="s">
        <v>37</v>
      </c>
      <c r="B25" s="4" t="s">
        <v>38</v>
      </c>
      <c r="C25" s="3"/>
    </row>
    <row r="26" customFormat="false" ht="15" hidden="false" customHeight="false" outlineLevel="0" collapsed="false">
      <c r="A26" s="13" t="s">
        <v>39</v>
      </c>
      <c r="B26" s="4" t="s">
        <v>40</v>
      </c>
      <c r="C2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23" activeCellId="0" sqref="A2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4" min="4" style="1" width="95"/>
  </cols>
  <sheetData>
    <row r="1" customFormat="false" ht="17.35" hidden="false" customHeight="false" outlineLevel="0" collapsed="false">
      <c r="A1" s="2" t="s">
        <v>41</v>
      </c>
      <c r="B1" s="3"/>
      <c r="C1" s="3"/>
      <c r="D1" s="3"/>
    </row>
    <row r="2" customFormat="false" ht="15" hidden="false" customHeight="false" outlineLevel="0" collapsed="false">
      <c r="A2" s="4" t="s">
        <v>42</v>
      </c>
      <c r="B2" s="3"/>
      <c r="C2" s="3"/>
      <c r="D2" s="3"/>
    </row>
    <row r="3" customFormat="false" ht="15" hidden="false" customHeight="false" outlineLevel="0" collapsed="false">
      <c r="A3" s="3"/>
      <c r="B3" s="3"/>
      <c r="C3" s="3"/>
      <c r="D3" s="3"/>
    </row>
    <row r="4" customFormat="false" ht="15" hidden="false" customHeight="false" outlineLevel="0" collapsed="false">
      <c r="A4" s="5" t="s">
        <v>43</v>
      </c>
      <c r="B4" s="5" t="s">
        <v>3</v>
      </c>
      <c r="C4" s="5" t="s">
        <v>44</v>
      </c>
      <c r="D4" s="5" t="s">
        <v>45</v>
      </c>
    </row>
    <row r="5" customFormat="false" ht="15" hidden="false" customHeight="false" outlineLevel="0" collapsed="false">
      <c r="A5" s="14" t="s">
        <v>46</v>
      </c>
      <c r="B5" s="15"/>
      <c r="C5" s="15"/>
      <c r="D5" s="15"/>
    </row>
    <row r="6" customFormat="false" ht="15" hidden="false" customHeight="false" outlineLevel="0" collapsed="false">
      <c r="A6" s="13" t="s">
        <v>47</v>
      </c>
      <c r="B6" s="16" t="s">
        <v>48</v>
      </c>
      <c r="C6" s="13" t="s">
        <v>49</v>
      </c>
      <c r="D6" s="4" t="s">
        <v>50</v>
      </c>
    </row>
    <row r="7" customFormat="false" ht="15" hidden="false" customHeight="false" outlineLevel="0" collapsed="false">
      <c r="A7" s="13" t="s">
        <v>51</v>
      </c>
      <c r="B7" s="16" t="s">
        <v>52</v>
      </c>
      <c r="C7" s="13" t="s">
        <v>49</v>
      </c>
      <c r="D7" s="4" t="s">
        <v>53</v>
      </c>
    </row>
    <row r="8" customFormat="false" ht="15" hidden="false" customHeight="false" outlineLevel="0" collapsed="false">
      <c r="A8" s="13" t="s">
        <v>54</v>
      </c>
      <c r="B8" s="16" t="s">
        <v>55</v>
      </c>
      <c r="C8" s="13" t="s">
        <v>49</v>
      </c>
      <c r="D8" s="4" t="s">
        <v>56</v>
      </c>
    </row>
    <row r="9" customFormat="false" ht="15" hidden="false" customHeight="false" outlineLevel="0" collapsed="false">
      <c r="A9" s="13" t="s">
        <v>57</v>
      </c>
      <c r="B9" s="17" t="s">
        <v>58</v>
      </c>
      <c r="C9" s="13" t="s">
        <v>49</v>
      </c>
      <c r="D9" s="4" t="s">
        <v>59</v>
      </c>
    </row>
    <row r="10" customFormat="false" ht="15" hidden="false" customHeight="false" outlineLevel="0" collapsed="false">
      <c r="A10" s="13" t="s">
        <v>60</v>
      </c>
      <c r="B10" s="17" t="s">
        <v>61</v>
      </c>
      <c r="C10" s="13" t="s">
        <v>62</v>
      </c>
      <c r="D10" s="4" t="s">
        <v>63</v>
      </c>
    </row>
    <row r="11" customFormat="false" ht="15" hidden="false" customHeight="false" outlineLevel="0" collapsed="false">
      <c r="A11" s="13" t="s">
        <v>9</v>
      </c>
      <c r="B11" s="17" t="s">
        <v>64</v>
      </c>
      <c r="C11" s="13" t="s">
        <v>62</v>
      </c>
      <c r="D11" s="4" t="s">
        <v>65</v>
      </c>
    </row>
    <row r="12" customFormat="false" ht="15" hidden="false" customHeight="false" outlineLevel="0" collapsed="false">
      <c r="A12" s="13" t="s">
        <v>66</v>
      </c>
      <c r="B12" s="18" t="n">
        <v>4</v>
      </c>
      <c r="C12" s="13" t="s">
        <v>67</v>
      </c>
      <c r="D12" s="4" t="s">
        <v>68</v>
      </c>
    </row>
    <row r="13" customFormat="false" ht="15" hidden="false" customHeight="false" outlineLevel="0" collapsed="false">
      <c r="A13" s="14" t="s">
        <v>69</v>
      </c>
      <c r="B13" s="15"/>
      <c r="C13" s="15"/>
      <c r="D13" s="15"/>
    </row>
    <row r="14" customFormat="false" ht="15" hidden="false" customHeight="false" outlineLevel="0" collapsed="false">
      <c r="A14" s="13" t="s">
        <v>70</v>
      </c>
      <c r="B14" s="18" t="n">
        <v>12</v>
      </c>
      <c r="C14" s="13" t="s">
        <v>71</v>
      </c>
      <c r="D14" s="4" t="s">
        <v>72</v>
      </c>
    </row>
    <row r="15" customFormat="false" ht="15" hidden="false" customHeight="false" outlineLevel="0" collapsed="false">
      <c r="A15" s="13" t="s">
        <v>73</v>
      </c>
      <c r="B15" s="19" t="n">
        <v>7</v>
      </c>
      <c r="C15" s="13" t="s">
        <v>71</v>
      </c>
      <c r="D15" s="4" t="s">
        <v>74</v>
      </c>
    </row>
    <row r="16" customFormat="false" ht="15" hidden="false" customHeight="false" outlineLevel="0" collapsed="false">
      <c r="A16" s="13" t="s">
        <v>75</v>
      </c>
      <c r="B16" s="18" t="n">
        <v>5</v>
      </c>
      <c r="C16" s="13" t="s">
        <v>76</v>
      </c>
      <c r="D16" s="4" t="s">
        <v>77</v>
      </c>
    </row>
    <row r="17" customFormat="false" ht="15" hidden="false" customHeight="false" outlineLevel="0" collapsed="false">
      <c r="A17" s="13" t="s">
        <v>78</v>
      </c>
      <c r="B17" s="19" t="n">
        <v>40</v>
      </c>
      <c r="C17" s="13" t="s">
        <v>79</v>
      </c>
      <c r="D17" s="4" t="s">
        <v>80</v>
      </c>
    </row>
    <row r="18" customFormat="false" ht="15" hidden="false" customHeight="false" outlineLevel="0" collapsed="false">
      <c r="A18" s="13" t="s">
        <v>81</v>
      </c>
      <c r="B18" s="19" t="n">
        <v>60</v>
      </c>
      <c r="C18" s="13" t="s">
        <v>79</v>
      </c>
      <c r="D18" s="4" t="s">
        <v>82</v>
      </c>
    </row>
    <row r="19" customFormat="false" ht="15" hidden="false" customHeight="false" outlineLevel="0" collapsed="false">
      <c r="A19" s="13" t="s">
        <v>83</v>
      </c>
      <c r="B19" s="20" t="n">
        <v>0.1</v>
      </c>
      <c r="C19" s="13" t="s">
        <v>84</v>
      </c>
      <c r="D19" s="4" t="s">
        <v>85</v>
      </c>
    </row>
    <row r="20" customFormat="false" ht="15" hidden="false" customHeight="false" outlineLevel="0" collapsed="false">
      <c r="A20" s="13" t="s">
        <v>86</v>
      </c>
      <c r="B20" s="18" t="n">
        <v>60</v>
      </c>
      <c r="C20" s="13" t="s">
        <v>87</v>
      </c>
      <c r="D20" s="4" t="s">
        <v>88</v>
      </c>
    </row>
    <row r="21" customFormat="false" ht="15" hidden="false" customHeight="false" outlineLevel="0" collapsed="false">
      <c r="A21" s="13" t="s">
        <v>89</v>
      </c>
      <c r="B21" s="18" t="n">
        <v>3</v>
      </c>
      <c r="C21" s="13" t="s">
        <v>90</v>
      </c>
      <c r="D21" s="4" t="s">
        <v>91</v>
      </c>
    </row>
    <row r="22" customFormat="false" ht="15" hidden="false" customHeight="false" outlineLevel="0" collapsed="false">
      <c r="A22" s="13" t="s">
        <v>92</v>
      </c>
      <c r="B22" s="18" t="n">
        <v>50</v>
      </c>
      <c r="C22" s="13" t="s">
        <v>93</v>
      </c>
      <c r="D22" s="4" t="s">
        <v>94</v>
      </c>
    </row>
    <row r="23" customFormat="false" ht="15" hidden="false" customHeight="false" outlineLevel="0" collapsed="false">
      <c r="A23" s="13" t="s">
        <v>95</v>
      </c>
      <c r="B23" s="19" t="n">
        <v>12000</v>
      </c>
      <c r="C23" s="13" t="s">
        <v>67</v>
      </c>
      <c r="D23" s="4" t="s">
        <v>96</v>
      </c>
    </row>
    <row r="24" customFormat="false" ht="15" hidden="false" customHeight="false" outlineLevel="0" collapsed="false">
      <c r="A24" s="13" t="s">
        <v>97</v>
      </c>
      <c r="B24" s="19" t="n">
        <v>6</v>
      </c>
      <c r="C24" s="13" t="s">
        <v>98</v>
      </c>
      <c r="D24" s="4" t="s">
        <v>99</v>
      </c>
    </row>
    <row r="25" customFormat="false" ht="15" hidden="false" customHeight="false" outlineLevel="0" collapsed="false">
      <c r="A25" s="13" t="s">
        <v>100</v>
      </c>
      <c r="B25" s="18" t="n">
        <v>0</v>
      </c>
      <c r="C25" s="13" t="s">
        <v>101</v>
      </c>
      <c r="D25" s="4" t="s">
        <v>102</v>
      </c>
    </row>
    <row r="26" customFormat="false" ht="15" hidden="false" customHeight="false" outlineLevel="0" collapsed="false">
      <c r="A26" s="14" t="s">
        <v>103</v>
      </c>
      <c r="B26" s="15"/>
      <c r="C26" s="15"/>
      <c r="D26" s="15"/>
    </row>
    <row r="27" customFormat="false" ht="15" hidden="false" customHeight="false" outlineLevel="0" collapsed="false">
      <c r="A27" s="13" t="s">
        <v>104</v>
      </c>
      <c r="B27" s="18" t="n">
        <v>40</v>
      </c>
      <c r="C27" s="13" t="s">
        <v>105</v>
      </c>
      <c r="D27" s="4" t="s">
        <v>106</v>
      </c>
    </row>
    <row r="28" customFormat="false" ht="15" hidden="false" customHeight="false" outlineLevel="0" collapsed="false">
      <c r="A28" s="13" t="s">
        <v>107</v>
      </c>
      <c r="B28" s="19" t="n">
        <v>600</v>
      </c>
      <c r="C28" s="13" t="s">
        <v>105</v>
      </c>
      <c r="D28" s="4" t="s">
        <v>108</v>
      </c>
    </row>
    <row r="29" customFormat="false" ht="15" hidden="false" customHeight="false" outlineLevel="0" collapsed="false">
      <c r="A29" s="13" t="s">
        <v>109</v>
      </c>
      <c r="B29" s="19" t="n">
        <v>6</v>
      </c>
      <c r="C29" s="13" t="s">
        <v>110</v>
      </c>
      <c r="D29" s="4" t="s">
        <v>111</v>
      </c>
    </row>
    <row r="30" customFormat="false" ht="15" hidden="false" customHeight="false" outlineLevel="0" collapsed="false">
      <c r="A30" s="13" t="s">
        <v>112</v>
      </c>
      <c r="B30" s="19" t="n">
        <v>700</v>
      </c>
      <c r="C30" s="13" t="s">
        <v>105</v>
      </c>
      <c r="D30" s="4" t="s">
        <v>113</v>
      </c>
    </row>
    <row r="31" customFormat="false" ht="15" hidden="false" customHeight="false" outlineLevel="0" collapsed="false">
      <c r="A31" s="13" t="s">
        <v>114</v>
      </c>
      <c r="B31" s="19" t="n">
        <v>600</v>
      </c>
      <c r="C31" s="13" t="s">
        <v>105</v>
      </c>
      <c r="D31" s="4" t="s">
        <v>115</v>
      </c>
    </row>
    <row r="32" customFormat="false" ht="15" hidden="false" customHeight="false" outlineLevel="0" collapsed="false">
      <c r="A32" s="13" t="s">
        <v>116</v>
      </c>
      <c r="B32" s="18" t="n">
        <v>300</v>
      </c>
      <c r="C32" s="13" t="s">
        <v>105</v>
      </c>
      <c r="D32" s="4" t="s">
        <v>117</v>
      </c>
    </row>
    <row r="33" customFormat="false" ht="15" hidden="false" customHeight="false" outlineLevel="0" collapsed="false">
      <c r="A33" s="13" t="s">
        <v>118</v>
      </c>
      <c r="B33" s="18" t="n">
        <v>400</v>
      </c>
      <c r="C33" s="13" t="s">
        <v>105</v>
      </c>
      <c r="D33" s="4" t="s">
        <v>117</v>
      </c>
    </row>
    <row r="34" customFormat="false" ht="15" hidden="false" customHeight="false" outlineLevel="0" collapsed="false">
      <c r="A34" s="14" t="s">
        <v>119</v>
      </c>
      <c r="B34" s="15"/>
      <c r="C34" s="15"/>
      <c r="D34" s="15"/>
    </row>
    <row r="35" customFormat="false" ht="15" hidden="false" customHeight="false" outlineLevel="0" collapsed="false">
      <c r="A35" s="13" t="s">
        <v>120</v>
      </c>
      <c r="B35" s="18" t="n">
        <v>50</v>
      </c>
      <c r="C35" s="13" t="s">
        <v>121</v>
      </c>
      <c r="D35" s="4" t="s">
        <v>122</v>
      </c>
    </row>
    <row r="36" customFormat="false" ht="15" hidden="false" customHeight="false" outlineLevel="0" collapsed="false">
      <c r="A36" s="13" t="s">
        <v>123</v>
      </c>
      <c r="B36" s="18" t="n">
        <v>75</v>
      </c>
      <c r="C36" s="13" t="s">
        <v>121</v>
      </c>
      <c r="D36" s="4" t="s">
        <v>124</v>
      </c>
    </row>
    <row r="37" customFormat="false" ht="15" hidden="false" customHeight="false" outlineLevel="0" collapsed="false">
      <c r="A37" s="13" t="s">
        <v>125</v>
      </c>
      <c r="B37" s="18" t="n">
        <v>100</v>
      </c>
      <c r="C37" s="13" t="s">
        <v>121</v>
      </c>
      <c r="D37" s="4" t="s">
        <v>126</v>
      </c>
    </row>
    <row r="38" customFormat="false" ht="15" hidden="false" customHeight="false" outlineLevel="0" collapsed="false">
      <c r="A38" s="13" t="s">
        <v>127</v>
      </c>
      <c r="B38" s="19" t="n">
        <v>60</v>
      </c>
      <c r="C38" s="13" t="s">
        <v>79</v>
      </c>
      <c r="D38" s="4" t="s">
        <v>128</v>
      </c>
    </row>
    <row r="39" customFormat="false" ht="15" hidden="false" customHeight="false" outlineLevel="0" collapsed="false">
      <c r="A39" s="13" t="s">
        <v>129</v>
      </c>
      <c r="B39" s="21" t="n">
        <v>0.4</v>
      </c>
      <c r="C39" s="13" t="s">
        <v>84</v>
      </c>
      <c r="D39" s="4" t="s">
        <v>130</v>
      </c>
    </row>
    <row r="40" customFormat="false" ht="15" hidden="false" customHeight="false" outlineLevel="0" collapsed="false">
      <c r="A40" s="13" t="s">
        <v>131</v>
      </c>
      <c r="B40" s="20" t="n">
        <v>0.05</v>
      </c>
      <c r="C40" s="13" t="s">
        <v>84</v>
      </c>
      <c r="D40" s="4" t="s">
        <v>132</v>
      </c>
    </row>
    <row r="41" customFormat="false" ht="15" hidden="false" customHeight="false" outlineLevel="0" collapsed="false">
      <c r="A41" s="13" t="s">
        <v>133</v>
      </c>
      <c r="B41" s="19" t="n">
        <v>25</v>
      </c>
      <c r="C41" s="13" t="s">
        <v>134</v>
      </c>
      <c r="D41" s="4" t="s">
        <v>135</v>
      </c>
    </row>
    <row r="42" customFormat="false" ht="15" hidden="false" customHeight="false" outlineLevel="0" collapsed="false">
      <c r="A42" s="13" t="s">
        <v>136</v>
      </c>
      <c r="B42" s="19" t="n">
        <v>40</v>
      </c>
      <c r="C42" s="13" t="s">
        <v>134</v>
      </c>
      <c r="D42" s="4" t="s">
        <v>137</v>
      </c>
    </row>
    <row r="43" customFormat="false" ht="15" hidden="false" customHeight="false" outlineLevel="0" collapsed="false">
      <c r="A43" s="13" t="s">
        <v>138</v>
      </c>
      <c r="B43" s="19" t="n">
        <v>50</v>
      </c>
      <c r="C43" s="13" t="s">
        <v>134</v>
      </c>
      <c r="D43" s="4" t="s">
        <v>137</v>
      </c>
    </row>
    <row r="44" customFormat="false" ht="15" hidden="false" customHeight="false" outlineLevel="0" collapsed="false">
      <c r="A44" s="14" t="s">
        <v>139</v>
      </c>
      <c r="B44" s="15"/>
      <c r="C44" s="15"/>
      <c r="D44" s="15"/>
    </row>
    <row r="45" customFormat="false" ht="15" hidden="false" customHeight="false" outlineLevel="0" collapsed="false">
      <c r="A45" s="13" t="s">
        <v>140</v>
      </c>
      <c r="B45" s="20" t="n">
        <v>0.25</v>
      </c>
      <c r="C45" s="13" t="s">
        <v>84</v>
      </c>
      <c r="D45" s="4" t="s">
        <v>141</v>
      </c>
    </row>
    <row r="46" customFormat="false" ht="15" hidden="false" customHeight="false" outlineLevel="0" collapsed="false">
      <c r="A46" s="13" t="s">
        <v>142</v>
      </c>
      <c r="B46" s="18" t="n">
        <v>2</v>
      </c>
      <c r="C46" s="13" t="s">
        <v>143</v>
      </c>
      <c r="D46" s="4" t="s">
        <v>144</v>
      </c>
    </row>
    <row r="47" customFormat="false" ht="15" hidden="false" customHeight="false" outlineLevel="0" collapsed="false">
      <c r="A47" s="3"/>
      <c r="B47" s="3"/>
      <c r="C47" s="3"/>
      <c r="D47" s="3"/>
    </row>
    <row r="48" customFormat="false" ht="15" hidden="false" customHeight="false" outlineLevel="0" collapsed="false">
      <c r="A48" s="14" t="s">
        <v>145</v>
      </c>
      <c r="B48" s="15"/>
      <c r="C48" s="15"/>
      <c r="D48" s="15"/>
    </row>
    <row r="49" customFormat="false" ht="15" hidden="false" customHeight="false" outlineLevel="0" collapsed="false">
      <c r="A49" s="3" t="s">
        <v>146</v>
      </c>
      <c r="B49" s="22" t="n">
        <f aca="false">INDEX('Price Reference'!$C$4:$C$8,MATCH(Assumptions!$B$10,'Price Reference'!$A$4:$A$8,0))</f>
        <v>0.1</v>
      </c>
      <c r="C49" s="3"/>
      <c r="D49" s="3"/>
    </row>
    <row r="50" customFormat="false" ht="15" hidden="false" customHeight="false" outlineLevel="0" collapsed="false">
      <c r="A50" s="3" t="s">
        <v>147</v>
      </c>
      <c r="B50" s="22" t="n">
        <f aca="false">INDEX('Price Reference'!$E$4:$E$8,MATCH(Assumptions!$B$10,'Price Reference'!$A$4:$A$8,0))</f>
        <v>0.5</v>
      </c>
      <c r="C50" s="3"/>
      <c r="D50" s="3"/>
    </row>
    <row r="51" customFormat="false" ht="15" hidden="false" customHeight="false" outlineLevel="0" collapsed="false">
      <c r="A51" s="3" t="s">
        <v>148</v>
      </c>
      <c r="B51" s="22" t="n">
        <f aca="false">INDEX('Price Reference'!$C$4:$C$8,MATCH(Assumptions!$B$11,'Price Reference'!$A$4:$A$8,0))</f>
        <v>0.13</v>
      </c>
      <c r="C51" s="3"/>
      <c r="D51" s="3"/>
    </row>
  </sheetData>
  <dataValidations count="2">
    <dataValidation allowBlank="false" errorStyle="stop" operator="between" showDropDown="false" showErrorMessage="false" showInputMessage="false" sqref="B10" type="list">
      <formula1>'Price Reference'!$A$4:$A$6</formula1>
      <formula2>0</formula2>
    </dataValidation>
    <dataValidation allowBlank="false" errorStyle="stop" operator="between" showDropDown="false" showErrorMessage="false" showInputMessage="false" sqref="B11" type="list">
      <formula1>'Price Reference'!$A$7:$A$8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7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75"/>
  </cols>
  <sheetData>
    <row r="1" customFormat="false" ht="17.35" hidden="false" customHeight="false" outlineLevel="0" collapsed="false">
      <c r="A1" s="2" t="s">
        <v>149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4" t="s">
        <v>150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26.85" hidden="false" customHeight="false" outlineLevel="0" collapsed="false">
      <c r="A4" s="5" t="s">
        <v>151</v>
      </c>
      <c r="B4" s="5" t="s">
        <v>152</v>
      </c>
      <c r="C4" s="5" t="s">
        <v>153</v>
      </c>
      <c r="D4" s="5" t="s">
        <v>154</v>
      </c>
      <c r="E4" s="5" t="s">
        <v>155</v>
      </c>
      <c r="F4" s="5" t="s">
        <v>156</v>
      </c>
      <c r="G4" s="5" t="s">
        <v>157</v>
      </c>
    </row>
    <row r="5" customFormat="false" ht="15" hidden="false" customHeight="false" outlineLevel="0" collapsed="false">
      <c r="A5" s="23" t="s">
        <v>158</v>
      </c>
      <c r="B5" s="24" t="n">
        <f aca="false">Assumptions!$B$27</f>
        <v>40</v>
      </c>
      <c r="C5" s="24" t="n">
        <f aca="false">0</f>
        <v>0</v>
      </c>
      <c r="D5" s="24" t="n">
        <f aca="false">0</f>
        <v>0</v>
      </c>
      <c r="E5" s="25" t="n">
        <f aca="false">B5/1000000*Assumptions!$B$51+C5/1000000*Assumptions!$B$49+D5/1000000*Assumptions!$B$50</f>
        <v>5.2E-006</v>
      </c>
      <c r="F5" s="23" t="s">
        <v>159</v>
      </c>
      <c r="G5" s="8" t="s">
        <v>160</v>
      </c>
    </row>
    <row r="6" customFormat="false" ht="15" hidden="false" customHeight="false" outlineLevel="0" collapsed="false">
      <c r="A6" s="23" t="s">
        <v>161</v>
      </c>
      <c r="B6" s="24" t="n">
        <f aca="false">Assumptions!$B$27</f>
        <v>40</v>
      </c>
      <c r="C6" s="24" t="n">
        <f aca="false">Assumptions!$B$28+Assumptions!$B$29*Assumptions!$B$30+Assumptions!$B$27</f>
        <v>4840</v>
      </c>
      <c r="D6" s="24" t="n">
        <f aca="false">Assumptions!$B$31</f>
        <v>600</v>
      </c>
      <c r="E6" s="25" t="n">
        <f aca="false">B6/1000000*Assumptions!$B$51+C6/1000000*Assumptions!$B$49+D6/1000000*Assumptions!$B$50</f>
        <v>0.0007892</v>
      </c>
      <c r="F6" s="23" t="s">
        <v>162</v>
      </c>
      <c r="G6" s="8" t="s">
        <v>163</v>
      </c>
    </row>
    <row r="7" customFormat="false" ht="15" hidden="false" customHeight="false" outlineLevel="0" collapsed="false">
      <c r="A7" s="23" t="s">
        <v>164</v>
      </c>
      <c r="B7" s="24" t="n">
        <f aca="false">0</f>
        <v>0</v>
      </c>
      <c r="C7" s="24" t="n">
        <f aca="false">0</f>
        <v>0</v>
      </c>
      <c r="D7" s="24" t="n">
        <f aca="false">0</f>
        <v>0</v>
      </c>
      <c r="E7" s="25" t="n">
        <f aca="false">B7/1000000*Assumptions!$B$51+C7/1000000*Assumptions!$B$49+D7/1000000*Assumptions!$B$50</f>
        <v>0</v>
      </c>
      <c r="F7" s="23" t="s">
        <v>165</v>
      </c>
      <c r="G7" s="8" t="s">
        <v>166</v>
      </c>
    </row>
    <row r="8" customFormat="false" ht="15" hidden="false" customHeight="false" outlineLevel="0" collapsed="false">
      <c r="A8" s="23" t="s">
        <v>167</v>
      </c>
      <c r="B8" s="24" t="n">
        <f aca="false">(Assumptions!$B$23/Assumptions!$B$12)</f>
        <v>3000</v>
      </c>
      <c r="C8" s="24" t="n">
        <f aca="false">Assumptions!$B$25*((Assumptions!$B$23/Assumptions!$B$12)+Assumptions!$B$32)</f>
        <v>0</v>
      </c>
      <c r="D8" s="24" t="n">
        <f aca="false">Assumptions!$B$25*Assumptions!$B$33</f>
        <v>0</v>
      </c>
      <c r="E8" s="25" t="n">
        <f aca="false">B8/1000000*Assumptions!$B$51+C8/1000000*Assumptions!$B$49+D8/1000000*Assumptions!$B$50</f>
        <v>0.00039</v>
      </c>
      <c r="F8" s="23" t="s">
        <v>159</v>
      </c>
      <c r="G8" s="8" t="s">
        <v>168</v>
      </c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</row>
    <row r="10" customFormat="false" ht="15" hidden="false" customHeight="false" outlineLevel="0" collapsed="false">
      <c r="A10" s="26" t="s">
        <v>169</v>
      </c>
      <c r="B10" s="3"/>
      <c r="C10" s="3"/>
      <c r="D10" s="3"/>
      <c r="E10" s="27" t="n">
        <f aca="false">E6*1000</f>
        <v>0.7892</v>
      </c>
      <c r="F10" s="3"/>
      <c r="G10" s="3"/>
    </row>
    <row r="11" customFormat="false" ht="15" hidden="false" customHeight="false" outlineLevel="0" collapsed="false">
      <c r="A11" s="26" t="s">
        <v>170</v>
      </c>
      <c r="B11" s="3"/>
      <c r="C11" s="3"/>
      <c r="D11" s="3"/>
      <c r="E11" s="27" t="n">
        <f aca="false">E8*Assumptions!$B$22</f>
        <v>0.0195</v>
      </c>
      <c r="F11" s="3"/>
      <c r="G11" s="3"/>
    </row>
    <row r="12" customFormat="false" ht="15" hidden="false" customHeight="false" outlineLevel="0" collapsed="false">
      <c r="A12" s="4" t="s">
        <v>171</v>
      </c>
      <c r="B12" s="3"/>
      <c r="C12" s="3"/>
      <c r="D12" s="3"/>
      <c r="E12" s="3"/>
      <c r="F12" s="3"/>
      <c r="G1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60"/>
  </cols>
  <sheetData>
    <row r="1" customFormat="false" ht="17.35" hidden="false" customHeight="false" outlineLevel="0" collapsed="false">
      <c r="A1" s="2" t="s">
        <v>172</v>
      </c>
      <c r="B1" s="3"/>
      <c r="C1" s="3"/>
      <c r="D1" s="3"/>
      <c r="E1" s="3"/>
    </row>
    <row r="2" customFormat="false" ht="15" hidden="false" customHeight="false" outlineLevel="0" collapsed="false">
      <c r="A2" s="4" t="s">
        <v>173</v>
      </c>
      <c r="B2" s="3"/>
      <c r="C2" s="3"/>
      <c r="D2" s="3"/>
      <c r="E2" s="3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26.85" hidden="false" customHeight="false" outlineLevel="0" collapsed="false">
      <c r="A4" s="5" t="s">
        <v>151</v>
      </c>
      <c r="B4" s="5" t="s">
        <v>174</v>
      </c>
      <c r="C4" s="5" t="s">
        <v>175</v>
      </c>
      <c r="D4" s="5" t="s">
        <v>176</v>
      </c>
      <c r="E4" s="5" t="s">
        <v>177</v>
      </c>
    </row>
    <row r="5" customFormat="false" ht="15" hidden="false" customHeight="false" outlineLevel="0" collapsed="false">
      <c r="A5" s="23" t="s">
        <v>178</v>
      </c>
      <c r="B5" s="28" t="n">
        <f aca="false">Assumptions!$B$15*Assumptions!$B$16*Assumptions!$B$18</f>
        <v>2100</v>
      </c>
      <c r="C5" s="9" t="n">
        <f aca="false">'Unit Costs'!$E$5</f>
        <v>5.2E-006</v>
      </c>
      <c r="D5" s="29" t="n">
        <f aca="false">B5*C5</f>
        <v>0.01092</v>
      </c>
      <c r="E5" s="8" t="s">
        <v>179</v>
      </c>
    </row>
    <row r="6" customFormat="false" ht="15" hidden="false" customHeight="false" outlineLevel="0" collapsed="false">
      <c r="A6" s="23" t="s">
        <v>180</v>
      </c>
      <c r="B6" s="28" t="n">
        <f aca="false">Assumptions!$B$20*Assumptions!$B$21</f>
        <v>180</v>
      </c>
      <c r="C6" s="9" t="n">
        <f aca="false">'Unit Costs'!$E$5</f>
        <v>5.2E-006</v>
      </c>
      <c r="D6" s="29" t="n">
        <f aca="false">B6*C6</f>
        <v>0.000936</v>
      </c>
      <c r="E6" s="8" t="s">
        <v>181</v>
      </c>
    </row>
    <row r="7" customFormat="false" ht="15" hidden="false" customHeight="false" outlineLevel="0" collapsed="false">
      <c r="A7" s="23" t="s">
        <v>182</v>
      </c>
      <c r="B7" s="28" t="n">
        <f aca="false">Assumptions!$B$15*Assumptions!$B$16*Assumptions!$B$17*(1-Assumptions!$B$19)</f>
        <v>1260</v>
      </c>
      <c r="C7" s="9" t="n">
        <f aca="false">'Unit Costs'!$E$6</f>
        <v>0.0007892</v>
      </c>
      <c r="D7" s="29" t="n">
        <f aca="false">B7*C7</f>
        <v>0.994392</v>
      </c>
      <c r="E7" s="8" t="s">
        <v>183</v>
      </c>
    </row>
    <row r="8" customFormat="false" ht="15" hidden="false" customHeight="false" outlineLevel="0" collapsed="false">
      <c r="A8" s="23" t="s">
        <v>184</v>
      </c>
      <c r="B8" s="28" t="n">
        <f aca="false">Assumptions!$B$20*Assumptions!$B$21</f>
        <v>180</v>
      </c>
      <c r="C8" s="9" t="n">
        <f aca="false">'Unit Costs'!$E$6</f>
        <v>0.0007892</v>
      </c>
      <c r="D8" s="29" t="n">
        <f aca="false">B8*C8</f>
        <v>0.142056</v>
      </c>
      <c r="E8" s="8" t="s">
        <v>185</v>
      </c>
    </row>
    <row r="9" customFormat="false" ht="15" hidden="false" customHeight="false" outlineLevel="0" collapsed="false">
      <c r="A9" s="23" t="s">
        <v>186</v>
      </c>
      <c r="B9" s="28" t="n">
        <f aca="false">Assumptions!$B$15*Assumptions!$B$16*Assumptions!$B$17*Assumptions!$B$19</f>
        <v>140</v>
      </c>
      <c r="C9" s="9" t="n">
        <f aca="false">'Unit Costs'!$E$7</f>
        <v>0</v>
      </c>
      <c r="D9" s="29" t="n">
        <f aca="false">B9*C9</f>
        <v>0</v>
      </c>
      <c r="E9" s="8" t="s">
        <v>187</v>
      </c>
    </row>
    <row r="10" customFormat="false" ht="15" hidden="false" customHeight="false" outlineLevel="0" collapsed="false">
      <c r="A10" s="23" t="s">
        <v>188</v>
      </c>
      <c r="B10" s="28" t="n">
        <f aca="false">Assumptions!$B$22*Assumptions!$B$24</f>
        <v>300</v>
      </c>
      <c r="C10" s="9" t="n">
        <f aca="false">'Unit Costs'!$E$8</f>
        <v>0.00039</v>
      </c>
      <c r="D10" s="29" t="n">
        <f aca="false">B10*C10</f>
        <v>0.117</v>
      </c>
      <c r="E10" s="8" t="s">
        <v>189</v>
      </c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5" hidden="false" customHeight="false" outlineLevel="0" collapsed="false">
      <c r="A12" s="26" t="s">
        <v>190</v>
      </c>
      <c r="B12" s="3"/>
      <c r="C12" s="3"/>
      <c r="D12" s="30" t="n">
        <f aca="false">SUM(D5:D10)</f>
        <v>1.265304</v>
      </c>
      <c r="E12" s="3"/>
    </row>
    <row r="13" customFormat="false" ht="15" hidden="false" customHeight="false" outlineLevel="0" collapsed="false">
      <c r="A13" s="26" t="s">
        <v>140</v>
      </c>
      <c r="B13" s="31" t="n">
        <f aca="false">Assumptions!$B$45</f>
        <v>0.25</v>
      </c>
      <c r="C13" s="3"/>
      <c r="D13" s="30" t="n">
        <f aca="false">D12*B13</f>
        <v>0.316326</v>
      </c>
      <c r="E13" s="3"/>
    </row>
    <row r="14" customFormat="false" ht="15" hidden="false" customHeight="false" outlineLevel="0" collapsed="false">
      <c r="A14" s="26" t="s">
        <v>191</v>
      </c>
      <c r="B14" s="3"/>
      <c r="C14" s="3"/>
      <c r="D14" s="32" t="n">
        <f aca="false">D12+D13</f>
        <v>1.58163</v>
      </c>
      <c r="E14" s="3"/>
    </row>
    <row r="15" customFormat="false" ht="15" hidden="false" customHeight="false" outlineLevel="0" collapsed="false">
      <c r="A15" s="26" t="s">
        <v>192</v>
      </c>
      <c r="B15" s="3"/>
      <c r="C15" s="3"/>
      <c r="D15" s="30" t="n">
        <f aca="false">D14/Assumptions!$B$15</f>
        <v>0.225947142857143</v>
      </c>
      <c r="E15" s="3"/>
    </row>
    <row r="16" customFormat="false" ht="15" hidden="false" customHeight="false" outlineLevel="0" collapsed="false">
      <c r="A16" s="26" t="s">
        <v>193</v>
      </c>
      <c r="B16" s="3"/>
      <c r="C16" s="3"/>
      <c r="D16" s="30" t="n">
        <f aca="false">D15*52/12</f>
        <v>0.979104285714286</v>
      </c>
      <c r="E16" s="3"/>
    </row>
    <row r="17" customFormat="false" ht="15" hidden="false" customHeight="false" outlineLevel="0" collapsed="false">
      <c r="A17" s="26" t="s">
        <v>194</v>
      </c>
      <c r="B17" s="3"/>
      <c r="C17" s="3"/>
      <c r="D17" s="32" t="n">
        <f aca="false">ROUNDUP(D16*Assumptions!$B$46,0)</f>
        <v>2</v>
      </c>
      <c r="E17" s="4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9" activeCellId="0" sqref="Q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</cols>
  <sheetData>
    <row r="1" customFormat="false" ht="17.35" hidden="false" customHeight="false" outlineLevel="0" collapsed="false">
      <c r="A1" s="2" t="s">
        <v>196</v>
      </c>
      <c r="B1" s="3"/>
      <c r="C1" s="3"/>
      <c r="D1" s="3"/>
    </row>
    <row r="2" customFormat="false" ht="15" hidden="false" customHeight="false" outlineLevel="0" collapsed="false">
      <c r="A2" s="4" t="s">
        <v>197</v>
      </c>
      <c r="B2" s="3"/>
      <c r="C2" s="3"/>
      <c r="D2" s="3"/>
    </row>
    <row r="3" customFormat="false" ht="15" hidden="false" customHeight="false" outlineLevel="0" collapsed="false">
      <c r="A3" s="3"/>
      <c r="B3" s="3"/>
      <c r="C3" s="3"/>
      <c r="D3" s="3"/>
    </row>
    <row r="4" customFormat="false" ht="15" hidden="false" customHeight="false" outlineLevel="0" collapsed="false">
      <c r="A4" s="5" t="s">
        <v>198</v>
      </c>
      <c r="B4" s="5" t="s">
        <v>199</v>
      </c>
      <c r="C4" s="5" t="s">
        <v>200</v>
      </c>
      <c r="D4" s="5" t="s">
        <v>201</v>
      </c>
    </row>
    <row r="5" customFormat="false" ht="15" hidden="false" customHeight="false" outlineLevel="0" collapsed="false">
      <c r="A5" s="33" t="s">
        <v>202</v>
      </c>
      <c r="B5" s="24" t="n">
        <f aca="false">Assumptions!$B$35</f>
        <v>50</v>
      </c>
      <c r="C5" s="24" t="n">
        <f aca="false">Assumptions!$B$36</f>
        <v>75</v>
      </c>
      <c r="D5" s="24" t="n">
        <f aca="false">Assumptions!$B$37</f>
        <v>100</v>
      </c>
    </row>
    <row r="6" customFormat="false" ht="15" hidden="false" customHeight="false" outlineLevel="0" collapsed="false">
      <c r="A6" s="33" t="s">
        <v>203</v>
      </c>
      <c r="B6" s="34" t="n">
        <f aca="false">B5*Assumptions!$B$38</f>
        <v>3000</v>
      </c>
      <c r="C6" s="34" t="n">
        <f aca="false">C5*Assumptions!$B$38</f>
        <v>4500</v>
      </c>
      <c r="D6" s="34" t="n">
        <f aca="false">D5*Assumptions!$B$38</f>
        <v>6000</v>
      </c>
    </row>
    <row r="7" customFormat="false" ht="15" hidden="false" customHeight="false" outlineLevel="0" collapsed="false">
      <c r="A7" s="33" t="s">
        <v>204</v>
      </c>
      <c r="B7" s="34" t="n">
        <f aca="false">B6*(1-Assumptions!$B$39)</f>
        <v>1800</v>
      </c>
      <c r="C7" s="34" t="n">
        <f aca="false">C6*(1-Assumptions!$B$39)</f>
        <v>2700</v>
      </c>
      <c r="D7" s="34" t="n">
        <f aca="false">D6*(1-Assumptions!$B$39)</f>
        <v>3600</v>
      </c>
    </row>
    <row r="8" customFormat="false" ht="15" hidden="false" customHeight="false" outlineLevel="0" collapsed="false">
      <c r="A8" s="33" t="s">
        <v>205</v>
      </c>
      <c r="B8" s="34" t="n">
        <f aca="false">B6*Assumptions!$B$39*(1-Assumptions!$B$40)</f>
        <v>1140</v>
      </c>
      <c r="C8" s="34" t="n">
        <f aca="false">C6*Assumptions!$B$39*(1-Assumptions!$B$40)</f>
        <v>1710</v>
      </c>
      <c r="D8" s="34" t="n">
        <f aca="false">D6*Assumptions!$B$39*(1-Assumptions!$B$40)</f>
        <v>2280</v>
      </c>
    </row>
    <row r="9" customFormat="false" ht="15" hidden="false" customHeight="false" outlineLevel="0" collapsed="false">
      <c r="A9" s="33" t="s">
        <v>206</v>
      </c>
      <c r="B9" s="34" t="n">
        <f aca="false">B6*Assumptions!$B$39*Assumptions!$B$40</f>
        <v>60</v>
      </c>
      <c r="C9" s="34" t="n">
        <f aca="false">C6*Assumptions!$B$39*Assumptions!$B$40</f>
        <v>90</v>
      </c>
      <c r="D9" s="34" t="n">
        <f aca="false">D6*Assumptions!$B$39*Assumptions!$B$40</f>
        <v>120</v>
      </c>
    </row>
    <row r="10" customFormat="false" ht="15" hidden="false" customHeight="false" outlineLevel="0" collapsed="false">
      <c r="A10" s="33" t="s">
        <v>207</v>
      </c>
      <c r="B10" s="24" t="n">
        <f aca="false">Assumptions!$B$41</f>
        <v>25</v>
      </c>
      <c r="C10" s="24" t="n">
        <f aca="false">Assumptions!$B$42</f>
        <v>40</v>
      </c>
      <c r="D10" s="24" t="n">
        <f aca="false">Assumptions!$B$43</f>
        <v>50</v>
      </c>
    </row>
    <row r="11" customFormat="false" ht="15" hidden="false" customHeight="false" outlineLevel="0" collapsed="false">
      <c r="A11" s="33" t="s">
        <v>208</v>
      </c>
      <c r="B11" s="35" t="n">
        <f aca="false">B7*'Unit Costs'!$E$5</f>
        <v>0.00936</v>
      </c>
      <c r="C11" s="35" t="n">
        <f aca="false">C7*'Unit Costs'!$E$5</f>
        <v>0.01404</v>
      </c>
      <c r="D11" s="35" t="n">
        <f aca="false">D7*'Unit Costs'!$E$5</f>
        <v>0.01872</v>
      </c>
    </row>
    <row r="12" customFormat="false" ht="15" hidden="false" customHeight="false" outlineLevel="0" collapsed="false">
      <c r="A12" s="33" t="s">
        <v>209</v>
      </c>
      <c r="B12" s="35" t="n">
        <f aca="false">B8*'Unit Costs'!$E$6+B9*'Unit Costs'!$E$7</f>
        <v>0.899688</v>
      </c>
      <c r="C12" s="35" t="n">
        <f aca="false">C8*'Unit Costs'!$E$6+C9*'Unit Costs'!$E$7</f>
        <v>1.349532</v>
      </c>
      <c r="D12" s="35" t="n">
        <f aca="false">D8*'Unit Costs'!$E$6+D9*'Unit Costs'!$E$7</f>
        <v>1.799376</v>
      </c>
    </row>
    <row r="13" customFormat="false" ht="15" hidden="false" customHeight="false" outlineLevel="0" collapsed="false">
      <c r="A13" s="33" t="s">
        <v>210</v>
      </c>
      <c r="B13" s="35" t="n">
        <f aca="false">B10*'Unit Costs'!$E$8</f>
        <v>0.00975</v>
      </c>
      <c r="C13" s="35" t="n">
        <f aca="false">C10*'Unit Costs'!$E$8</f>
        <v>0.0156</v>
      </c>
      <c r="D13" s="35" t="n">
        <f aca="false">D10*'Unit Costs'!$E$8</f>
        <v>0.0195</v>
      </c>
    </row>
    <row r="14" customFormat="false" ht="15" hidden="false" customHeight="false" outlineLevel="0" collapsed="false">
      <c r="A14" s="6" t="s">
        <v>211</v>
      </c>
      <c r="B14" s="36" t="n">
        <f aca="false">SUM(B11:B13)</f>
        <v>0.918798</v>
      </c>
      <c r="C14" s="36" t="n">
        <f aca="false">SUM(C11:C13)</f>
        <v>1.379172</v>
      </c>
      <c r="D14" s="36" t="n">
        <f aca="false">SUM(D11:D13)</f>
        <v>1.837596</v>
      </c>
    </row>
    <row r="15" customFormat="false" ht="15" hidden="false" customHeight="false" outlineLevel="0" collapsed="false">
      <c r="A15" s="6" t="s">
        <v>212</v>
      </c>
      <c r="B15" s="36" t="n">
        <f aca="false">B14*(1+Assumptions!$B$45)</f>
        <v>1.1484975</v>
      </c>
      <c r="C15" s="36" t="n">
        <f aca="false">C14*(1+Assumptions!$B$45)</f>
        <v>1.723965</v>
      </c>
      <c r="D15" s="36" t="n">
        <f aca="false">D14*(1+Assumptions!$B$45)</f>
        <v>2.296995</v>
      </c>
    </row>
    <row r="16" customFormat="false" ht="15" hidden="false" customHeight="false" outlineLevel="0" collapsed="false">
      <c r="A16" s="6" t="s">
        <v>213</v>
      </c>
      <c r="B16" s="36" t="n">
        <f aca="false">B15*12</f>
        <v>13.78197</v>
      </c>
      <c r="C16" s="36" t="n">
        <f aca="false">C15*12</f>
        <v>20.68758</v>
      </c>
      <c r="D16" s="36" t="n">
        <f aca="false">D15*12</f>
        <v>27.56394</v>
      </c>
    </row>
    <row r="17" customFormat="false" ht="15" hidden="false" customHeight="false" outlineLevel="0" collapsed="false">
      <c r="A17" s="33" t="s">
        <v>214</v>
      </c>
      <c r="B17" s="37" t="n">
        <f aca="false">IF(B5=0,0,B15/B5)</f>
        <v>0.02296995</v>
      </c>
      <c r="C17" s="37" t="n">
        <f aca="false">IF(C5=0,0,C15/C5)</f>
        <v>0.0229862</v>
      </c>
      <c r="D17" s="37" t="n">
        <f aca="false">IF(D5=0,0,D15/D5)</f>
        <v>0.02296995</v>
      </c>
    </row>
    <row r="18" customFormat="false" ht="15" hidden="false" customHeight="false" outlineLevel="0" collapsed="false">
      <c r="A18" s="33" t="s">
        <v>215</v>
      </c>
      <c r="B18" s="35" t="n">
        <f aca="false">B9*('Unit Costs'!$E$6-'Unit Costs'!$E$7)</f>
        <v>0.047352</v>
      </c>
      <c r="C18" s="35" t="n">
        <f aca="false">C9*('Unit Costs'!$E$6-'Unit Costs'!$E$7)</f>
        <v>0.071028</v>
      </c>
      <c r="D18" s="35" t="n">
        <f aca="false">D9*('Unit Costs'!$E$6-'Unit Costs'!$E$7)</f>
        <v>0.094704</v>
      </c>
    </row>
    <row r="19" customFormat="false" ht="15" hidden="false" customHeight="false" outlineLevel="0" collapsed="false">
      <c r="A19" s="6" t="s">
        <v>216</v>
      </c>
      <c r="B19" s="36" t="n">
        <f aca="false">ROUNDUP(B15*Assumptions!$B$46,0)</f>
        <v>3</v>
      </c>
      <c r="C19" s="36" t="n">
        <f aca="false">ROUNDUP(C15*Assumptions!$B$46,0)</f>
        <v>4</v>
      </c>
      <c r="D19" s="36" t="n">
        <f aca="false">ROUNDUP(D15*Assumptions!$B$46,0)</f>
        <v>5</v>
      </c>
    </row>
    <row r="20" customFormat="false" ht="15" hidden="false" customHeight="false" outlineLevel="0" collapsed="false">
      <c r="A20" s="3"/>
      <c r="B20" s="3"/>
      <c r="C20" s="3"/>
      <c r="D20" s="3"/>
    </row>
    <row r="21" customFormat="false" ht="15" hidden="false" customHeight="false" outlineLevel="0" collapsed="false">
      <c r="A21" s="38" t="s">
        <v>217</v>
      </c>
      <c r="B21" s="3"/>
      <c r="C21" s="3"/>
      <c r="D21" s="3"/>
    </row>
    <row r="22" customFormat="false" ht="15" hidden="false" customHeight="false" outlineLevel="0" collapsed="false">
      <c r="A22" s="5" t="s">
        <v>218</v>
      </c>
      <c r="B22" s="5" t="s">
        <v>210</v>
      </c>
      <c r="C22" s="5"/>
      <c r="D22" s="5"/>
    </row>
    <row r="23" customFormat="false" ht="15" hidden="false" customHeight="false" outlineLevel="0" collapsed="false">
      <c r="A23" s="18" t="n">
        <v>50</v>
      </c>
      <c r="B23" s="29" t="n">
        <f aca="false">A23*'Unit Costs'!$E$8</f>
        <v>0.0195</v>
      </c>
      <c r="C23" s="3"/>
      <c r="D23" s="3"/>
    </row>
    <row r="24" customFormat="false" ht="15" hidden="false" customHeight="false" outlineLevel="0" collapsed="false">
      <c r="A24" s="18" t="n">
        <v>500</v>
      </c>
      <c r="B24" s="29" t="n">
        <f aca="false">A24*'Unit Costs'!$E$8</f>
        <v>0.195</v>
      </c>
      <c r="C24" s="3"/>
      <c r="D24" s="3"/>
    </row>
    <row r="25" customFormat="false" ht="15" hidden="false" customHeight="false" outlineLevel="0" collapsed="false">
      <c r="A25" s="18" t="n">
        <v>5000</v>
      </c>
      <c r="B25" s="29" t="n">
        <f aca="false">A25*'Unit Costs'!$E$8</f>
        <v>1.95</v>
      </c>
      <c r="C25" s="3"/>
      <c r="D25" s="3"/>
    </row>
    <row r="26" customFormat="false" ht="15" hidden="false" customHeight="false" outlineLevel="0" collapsed="false">
      <c r="A26" s="18" t="n">
        <v>50000</v>
      </c>
      <c r="B26" s="29" t="n">
        <f aca="false">A26*'Unit Costs'!$E$8</f>
        <v>19.5</v>
      </c>
      <c r="C26" s="3"/>
      <c r="D26" s="3"/>
    </row>
    <row r="27" customFormat="false" ht="15" hidden="false" customHeight="false" outlineLevel="0" collapsed="false">
      <c r="A27" s="4" t="s">
        <v>219</v>
      </c>
      <c r="B27" s="3"/>
      <c r="C27" s="3"/>
      <c r="D2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28"/>
    <col collapsed="false" customWidth="true" hidden="false" outlineLevel="0" max="4" min="4" style="1" width="36"/>
  </cols>
  <sheetData>
    <row r="1" customFormat="false" ht="17.35" hidden="false" customHeight="false" outlineLevel="0" collapsed="false">
      <c r="A1" s="2" t="s">
        <v>220</v>
      </c>
      <c r="B1" s="3"/>
      <c r="C1" s="3"/>
      <c r="D1" s="3"/>
    </row>
    <row r="2" customFormat="false" ht="15" hidden="false" customHeight="false" outlineLevel="0" collapsed="false">
      <c r="A2" s="4" t="s">
        <v>221</v>
      </c>
      <c r="B2" s="3"/>
      <c r="C2" s="3"/>
      <c r="D2" s="3"/>
    </row>
    <row r="3" customFormat="false" ht="15" hidden="false" customHeight="false" outlineLevel="0" collapsed="false">
      <c r="A3" s="3"/>
      <c r="B3" s="3"/>
      <c r="C3" s="3"/>
      <c r="D3" s="3"/>
    </row>
    <row r="4" customFormat="false" ht="26.85" hidden="false" customHeight="false" outlineLevel="0" collapsed="false">
      <c r="A4" s="5" t="s">
        <v>222</v>
      </c>
      <c r="B4" s="5" t="s">
        <v>223</v>
      </c>
      <c r="C4" s="5" t="s">
        <v>224</v>
      </c>
      <c r="D4" s="5" t="s">
        <v>225</v>
      </c>
    </row>
    <row r="5" customFormat="false" ht="15" hidden="false" customHeight="false" outlineLevel="0" collapsed="false">
      <c r="A5" s="7" t="str">
        <f aca="false">'Price Reference'!A4</f>
        <v>gpt-6-astra</v>
      </c>
      <c r="B5" s="39" t="n">
        <f aca="false">('Unit Costs'!$B$6/1000000*Assumptions!$B$51+'Unit Costs'!$C$6/1000000*'Price Reference'!$C$4+'Unit Costs'!$D$6/1000000*'Price Reference'!$E$4)</f>
        <v>0.0784052</v>
      </c>
      <c r="C5" s="29" t="n">
        <f aca="false">(('Dev Phase Cost'!$B$5+'Dev Phase Cost'!$B$6)*'Unit Costs'!$E$5+('Dev Phase Cost'!$B$7+'Dev Phase Cost'!$B$8)*B5+'Dev Phase Cost'!$B$10*('Unit Costs'!$B$8/1000000*Assumptions!$B$51+'Unit Costs'!$C$8/1000000*'Price Reference'!$C$4+'Unit Costs'!$D$8/1000000*'Price Reference'!$E$4))*(1+Assumptions!$B$45)</f>
        <v>141.29043</v>
      </c>
      <c r="D5" s="29" t="n">
        <f aca="false">('Production Projection'!$D$7*'Unit Costs'!$E$5+'Production Projection'!$D$8*B5+'Production Projection'!$D$10*('Unit Costs'!$B$8/1000000*Assumptions!$B$51+'Unit Costs'!$C$8/1000000*'Price Reference'!$C$4+'Unit Costs'!$D$8/1000000*'Price Reference'!$E$4))*(1+Assumptions!$B$45)</f>
        <v>223.502595</v>
      </c>
    </row>
    <row r="6" customFormat="false" ht="15" hidden="false" customHeight="false" outlineLevel="0" collapsed="false">
      <c r="A6" s="7" t="str">
        <f aca="false">'Price Reference'!A5</f>
        <v>gpt-6-sol</v>
      </c>
      <c r="B6" s="39" t="n">
        <f aca="false">('Unit Costs'!$B$6/1000000*Assumptions!$B$51+'Unit Costs'!$C$6/1000000*'Price Reference'!$C$5+'Unit Costs'!$D$6/1000000*'Price Reference'!$E$5)</f>
        <v>0.0156852</v>
      </c>
      <c r="C6" s="29" t="n">
        <f aca="false">(('Dev Phase Cost'!$B$5+'Dev Phase Cost'!$B$6)*'Unit Costs'!$E$5+('Dev Phase Cost'!$B$7+'Dev Phase Cost'!$B$8)*B6+'Dev Phase Cost'!$B$10*('Unit Costs'!$B$8/1000000*Assumptions!$B$51+'Unit Costs'!$C$8/1000000*'Price Reference'!$C$5+'Unit Costs'!$D$8/1000000*'Price Reference'!$E$5))*(1+Assumptions!$B$45)</f>
        <v>28.39443</v>
      </c>
      <c r="D6" s="29" t="n">
        <f aca="false">('Production Projection'!$D$7*'Unit Costs'!$E$5+'Production Projection'!$D$8*B6+'Production Projection'!$D$10*('Unit Costs'!$B$8/1000000*Assumptions!$B$51+'Unit Costs'!$C$8/1000000*'Price Reference'!$C$5+'Unit Costs'!$D$8/1000000*'Price Reference'!$E$5))*(1+Assumptions!$B$45)</f>
        <v>44.750595</v>
      </c>
    </row>
    <row r="7" customFormat="false" ht="15" hidden="false" customHeight="false" outlineLevel="0" collapsed="false">
      <c r="A7" s="7" t="str">
        <f aca="false">'Price Reference'!A6</f>
        <v>gpt-6-luna</v>
      </c>
      <c r="B7" s="39" t="n">
        <f aca="false">('Unit Costs'!$B$6/1000000*Assumptions!$B$51+'Unit Costs'!$C$6/1000000*'Price Reference'!$C$6+'Unit Costs'!$D$6/1000000*'Price Reference'!$E$6)</f>
        <v>0.0007892</v>
      </c>
      <c r="C7" s="29" t="n">
        <f aca="false">(('Dev Phase Cost'!$B$5+'Dev Phase Cost'!$B$6)*'Unit Costs'!$E$5+('Dev Phase Cost'!$B$7+'Dev Phase Cost'!$B$8)*B7+'Dev Phase Cost'!$B$10*('Unit Costs'!$B$8/1000000*Assumptions!$B$51+'Unit Costs'!$C$8/1000000*'Price Reference'!$C$6+'Unit Costs'!$D$8/1000000*'Price Reference'!$E$6))*(1+Assumptions!$B$45)</f>
        <v>1.58163</v>
      </c>
      <c r="D7" s="29" t="n">
        <f aca="false">('Production Projection'!$D$7*'Unit Costs'!$E$5+'Production Projection'!$D$8*B7+'Production Projection'!$D$10*('Unit Costs'!$B$8/1000000*Assumptions!$B$51+'Unit Costs'!$C$8/1000000*'Price Reference'!$C$6+'Unit Costs'!$D$8/1000000*'Price Reference'!$E$6))*(1+Assumptions!$B$45)</f>
        <v>2.296995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80"/>
  </cols>
  <sheetData>
    <row r="1" customFormat="false" ht="17.35" hidden="false" customHeight="false" outlineLevel="0" collapsed="false">
      <c r="A1" s="2" t="s">
        <v>226</v>
      </c>
      <c r="B1" s="3"/>
      <c r="C1" s="3"/>
      <c r="D1" s="3"/>
      <c r="E1" s="3"/>
    </row>
    <row r="2" customFormat="false" ht="15" hidden="false" customHeight="false" outlineLevel="0" collapsed="false">
      <c r="A2" s="4" t="s">
        <v>227</v>
      </c>
      <c r="B2" s="3"/>
      <c r="C2" s="3"/>
      <c r="D2" s="3"/>
      <c r="E2" s="3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15" hidden="false" customHeight="false" outlineLevel="0" collapsed="false">
      <c r="A4" s="5" t="s">
        <v>2</v>
      </c>
      <c r="B4" s="5" t="s">
        <v>228</v>
      </c>
      <c r="C4" s="5" t="s">
        <v>229</v>
      </c>
      <c r="D4" s="5" t="s">
        <v>230</v>
      </c>
      <c r="E4" s="5" t="s">
        <v>231</v>
      </c>
    </row>
    <row r="5" customFormat="false" ht="15" hidden="false" customHeight="false" outlineLevel="0" collapsed="false">
      <c r="A5" s="23" t="s">
        <v>232</v>
      </c>
      <c r="B5" s="23" t="s">
        <v>233</v>
      </c>
      <c r="C5" s="23" t="s">
        <v>52</v>
      </c>
      <c r="D5" s="10" t="n">
        <f aca="false">'Dev Phase Cost'!D14</f>
        <v>1.58163</v>
      </c>
      <c r="E5" s="8" t="s">
        <v>234</v>
      </c>
    </row>
    <row r="6" customFormat="false" ht="15" hidden="false" customHeight="false" outlineLevel="0" collapsed="false">
      <c r="A6" s="23" t="s">
        <v>235</v>
      </c>
      <c r="B6" s="23" t="s">
        <v>236</v>
      </c>
      <c r="C6" s="23" t="s">
        <v>237</v>
      </c>
      <c r="D6" s="40" t="n">
        <v>0</v>
      </c>
      <c r="E6" s="8" t="s">
        <v>238</v>
      </c>
    </row>
    <row r="7" customFormat="false" ht="15" hidden="false" customHeight="false" outlineLevel="0" collapsed="false">
      <c r="A7" s="23" t="s">
        <v>239</v>
      </c>
      <c r="B7" s="23" t="s">
        <v>236</v>
      </c>
      <c r="C7" s="23" t="s">
        <v>237</v>
      </c>
      <c r="D7" s="40" t="n">
        <v>0</v>
      </c>
      <c r="E7" s="8" t="s">
        <v>238</v>
      </c>
    </row>
    <row r="8" customFormat="false" ht="15" hidden="false" customHeight="false" outlineLevel="0" collapsed="false">
      <c r="A8" s="23" t="s">
        <v>240</v>
      </c>
      <c r="B8" s="23" t="s">
        <v>241</v>
      </c>
      <c r="C8" s="23" t="s">
        <v>237</v>
      </c>
      <c r="D8" s="40" t="n">
        <v>0</v>
      </c>
      <c r="E8" s="8" t="s">
        <v>242</v>
      </c>
    </row>
    <row r="9" customFormat="false" ht="15" hidden="false" customHeight="false" outlineLevel="0" collapsed="false">
      <c r="A9" s="23" t="s">
        <v>58</v>
      </c>
      <c r="B9" s="23" t="s">
        <v>236</v>
      </c>
      <c r="C9" s="23" t="s">
        <v>237</v>
      </c>
      <c r="D9" s="40" t="n">
        <v>0</v>
      </c>
      <c r="E9" s="8" t="s">
        <v>243</v>
      </c>
    </row>
    <row r="10" customFormat="false" ht="15" hidden="false" customHeight="false" outlineLevel="0" collapsed="false">
      <c r="A10" s="23" t="s">
        <v>244</v>
      </c>
      <c r="B10" s="23" t="s">
        <v>245</v>
      </c>
      <c r="C10" s="23" t="s">
        <v>237</v>
      </c>
      <c r="D10" s="40" t="n">
        <v>0</v>
      </c>
      <c r="E10" s="8" t="s">
        <v>246</v>
      </c>
    </row>
    <row r="11" customFormat="false" ht="15" hidden="false" customHeight="false" outlineLevel="0" collapsed="false">
      <c r="A11" s="23" t="s">
        <v>247</v>
      </c>
      <c r="B11" s="23" t="s">
        <v>248</v>
      </c>
      <c r="C11" s="23" t="s">
        <v>237</v>
      </c>
      <c r="D11" s="40" t="n">
        <v>0</v>
      </c>
      <c r="E11" s="8" t="s">
        <v>249</v>
      </c>
    </row>
    <row r="12" customFormat="false" ht="15" hidden="false" customHeight="false" outlineLevel="0" collapsed="false">
      <c r="A12" s="23" t="s">
        <v>250</v>
      </c>
      <c r="B12" s="23" t="s">
        <v>245</v>
      </c>
      <c r="C12" s="23" t="s">
        <v>237</v>
      </c>
      <c r="D12" s="40" t="n">
        <v>0</v>
      </c>
      <c r="E12" s="8" t="s">
        <v>251</v>
      </c>
    </row>
    <row r="13" customFormat="false" ht="15" hidden="false" customHeight="false" outlineLevel="0" collapsed="false">
      <c r="A13" s="23" t="s">
        <v>252</v>
      </c>
      <c r="B13" s="23" t="s">
        <v>245</v>
      </c>
      <c r="C13" s="23" t="s">
        <v>237</v>
      </c>
      <c r="D13" s="40" t="n">
        <v>0</v>
      </c>
      <c r="E13" s="8" t="s">
        <v>237</v>
      </c>
    </row>
    <row r="14" customFormat="false" ht="15" hidden="false" customHeight="false" outlineLevel="0" collapsed="false">
      <c r="A14" s="23" t="s">
        <v>253</v>
      </c>
      <c r="B14" s="23" t="s">
        <v>245</v>
      </c>
      <c r="C14" s="23" t="s">
        <v>254</v>
      </c>
      <c r="D14" s="40" t="n">
        <v>0</v>
      </c>
      <c r="E14" s="8" t="s">
        <v>255</v>
      </c>
    </row>
    <row r="15" customFormat="false" ht="15" hidden="false" customHeight="false" outlineLevel="0" collapsed="false">
      <c r="A15" s="23" t="s">
        <v>256</v>
      </c>
      <c r="B15" s="23" t="s">
        <v>257</v>
      </c>
      <c r="C15" s="23" t="s">
        <v>254</v>
      </c>
      <c r="D15" s="40" t="n">
        <v>0</v>
      </c>
      <c r="E15" s="8" t="s">
        <v>258</v>
      </c>
    </row>
    <row r="16" customFormat="false" ht="15" hidden="false" customHeight="false" outlineLevel="0" collapsed="false">
      <c r="A16" s="23" t="s">
        <v>259</v>
      </c>
      <c r="B16" s="23" t="s">
        <v>260</v>
      </c>
      <c r="C16" s="23" t="s">
        <v>261</v>
      </c>
      <c r="D16" s="40" t="n">
        <v>0</v>
      </c>
      <c r="E16" s="8" t="s">
        <v>262</v>
      </c>
    </row>
    <row r="17" customFormat="false" ht="15" hidden="false" customHeight="false" outlineLevel="0" collapsed="false">
      <c r="A17" s="3"/>
      <c r="B17" s="3"/>
      <c r="C17" s="3"/>
      <c r="D17" s="3"/>
      <c r="E17" s="3"/>
    </row>
    <row r="18" customFormat="false" ht="15" hidden="false" customHeight="false" outlineLevel="0" collapsed="false">
      <c r="A18" s="26" t="s">
        <v>19</v>
      </c>
      <c r="B18" s="3"/>
      <c r="C18" s="3"/>
      <c r="D18" s="32" t="n">
        <f aca="false">SUM(D5:D16)</f>
        <v>1.58163</v>
      </c>
      <c r="E18" s="3"/>
    </row>
    <row r="19" customFormat="false" ht="15" hidden="false" customHeight="false" outlineLevel="0" collapsed="false">
      <c r="A19" s="26" t="s">
        <v>16</v>
      </c>
      <c r="B19" s="3"/>
      <c r="C19" s="3"/>
      <c r="D19" s="30" t="n">
        <f aca="false">SUMIF(C5:C16,"Sponsor",D5:D16)</f>
        <v>1.58163</v>
      </c>
      <c r="E19" s="3"/>
    </row>
    <row r="20" customFormat="false" ht="15" hidden="false" customHeight="false" outlineLevel="0" collapsed="false">
      <c r="A20" s="26" t="s">
        <v>21</v>
      </c>
      <c r="B20" s="3"/>
      <c r="C20" s="3"/>
      <c r="D20" s="30" t="n">
        <f aca="false">SUMIF(C5:C16,"Team",D5:D16)</f>
        <v>0</v>
      </c>
      <c r="E2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90"/>
  </cols>
  <sheetData>
    <row r="1" customFormat="false" ht="17.35" hidden="false" customHeight="false" outlineLevel="0" collapsed="false">
      <c r="A1" s="2" t="s">
        <v>263</v>
      </c>
      <c r="B1" s="3"/>
      <c r="C1" s="3"/>
      <c r="D1" s="3"/>
      <c r="E1" s="3"/>
      <c r="F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</row>
    <row r="3" customFormat="false" ht="26.85" hidden="false" customHeight="false" outlineLevel="0" collapsed="false">
      <c r="A3" s="5" t="s">
        <v>264</v>
      </c>
      <c r="B3" s="5" t="s">
        <v>265</v>
      </c>
      <c r="C3" s="5" t="s">
        <v>266</v>
      </c>
      <c r="D3" s="5" t="s">
        <v>267</v>
      </c>
      <c r="E3" s="5" t="s">
        <v>268</v>
      </c>
      <c r="F3" s="5" t="s">
        <v>269</v>
      </c>
    </row>
    <row r="4" customFormat="false" ht="15" hidden="false" customHeight="false" outlineLevel="0" collapsed="false">
      <c r="A4" s="33" t="s">
        <v>270</v>
      </c>
      <c r="B4" s="33" t="s">
        <v>271</v>
      </c>
      <c r="C4" s="41" t="n">
        <v>10</v>
      </c>
      <c r="D4" s="41" t="n">
        <v>1</v>
      </c>
      <c r="E4" s="41" t="n">
        <v>50</v>
      </c>
      <c r="F4" s="8" t="s">
        <v>272</v>
      </c>
    </row>
    <row r="5" customFormat="false" ht="15" hidden="false" customHeight="false" outlineLevel="0" collapsed="false">
      <c r="A5" s="33" t="s">
        <v>273</v>
      </c>
      <c r="B5" s="33" t="s">
        <v>271</v>
      </c>
      <c r="C5" s="41" t="n">
        <v>2</v>
      </c>
      <c r="D5" s="41" t="n">
        <v>0.2</v>
      </c>
      <c r="E5" s="41" t="n">
        <v>10</v>
      </c>
      <c r="F5" s="8" t="s">
        <v>274</v>
      </c>
    </row>
    <row r="6" customFormat="false" ht="15" hidden="false" customHeight="false" outlineLevel="0" collapsed="false">
      <c r="A6" s="33" t="s">
        <v>61</v>
      </c>
      <c r="B6" s="33" t="s">
        <v>271</v>
      </c>
      <c r="C6" s="41" t="n">
        <v>0.1</v>
      </c>
      <c r="D6" s="41" t="n">
        <v>0.01</v>
      </c>
      <c r="E6" s="41" t="n">
        <v>0.5</v>
      </c>
      <c r="F6" s="8" t="s">
        <v>274</v>
      </c>
    </row>
    <row r="7" customFormat="false" ht="15" hidden="false" customHeight="false" outlineLevel="0" collapsed="false">
      <c r="A7" s="33" t="s">
        <v>64</v>
      </c>
      <c r="B7" s="33" t="s">
        <v>275</v>
      </c>
      <c r="C7" s="41" t="n">
        <v>0.13</v>
      </c>
      <c r="D7" s="41"/>
      <c r="E7" s="41" t="n">
        <v>0</v>
      </c>
      <c r="F7" s="8" t="s">
        <v>276</v>
      </c>
    </row>
    <row r="8" customFormat="false" ht="15" hidden="false" customHeight="false" outlineLevel="0" collapsed="false">
      <c r="A8" s="33" t="s">
        <v>277</v>
      </c>
      <c r="B8" s="33" t="s">
        <v>275</v>
      </c>
      <c r="C8" s="41" t="n">
        <v>0.02</v>
      </c>
      <c r="D8" s="41"/>
      <c r="E8" s="41" t="n">
        <v>0</v>
      </c>
      <c r="F8" s="8" t="s">
        <v>278</v>
      </c>
    </row>
    <row r="9" customFormat="false" ht="15" hidden="false" customHeight="false" outlineLevel="0" collapsed="false">
      <c r="A9" s="3"/>
      <c r="B9" s="3"/>
      <c r="C9" s="3"/>
      <c r="D9" s="3"/>
      <c r="E9" s="3"/>
      <c r="F9" s="3"/>
    </row>
    <row r="10" customFormat="false" ht="15" hidden="false" customHeight="false" outlineLevel="0" collapsed="false">
      <c r="A10" s="4"/>
      <c r="B10" s="3"/>
      <c r="C10" s="3"/>
      <c r="D10" s="3"/>
      <c r="E10" s="3"/>
      <c r="F10" s="3"/>
    </row>
    <row r="11" customFormat="false" ht="15" hidden="false" customHeight="false" outlineLevel="0" collapsed="false">
      <c r="A11" s="4" t="s">
        <v>279</v>
      </c>
      <c r="B11" s="3"/>
      <c r="C11" s="3"/>
      <c r="D11" s="3"/>
      <c r="E11" s="3"/>
      <c r="F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2026-09-27T13:47:19Z</dcterms:created>
  <dc:creator>openpyxl</dc:creator>
  <dc:description/>
  <dc:language>en-US</dc:language>
  <cp:lastModifiedBy/>
  <dcterms:modified xsi:type="dcterms:W3CDTF">2026-09-27T10:05:40Z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